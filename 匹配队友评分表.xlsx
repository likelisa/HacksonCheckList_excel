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340"/>
  </bookViews>
  <sheets>
    <sheet name="候选人对比" sheetId="1" r:id="rId1"/>
    <sheet name="评分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<sst xmlns="http://schemas.openxmlformats.org/spreadsheetml/2006/main" count="55" uniqueCount="55">
  <si>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黑客松选队友评分表</t>
  </si>
  <si>
    <t>填写方法：只根据赛前可验证的信息评分。每项按 1–5 分，系统按权重换算为 100 分；总分越高，越适合加入本次黑客松队伍。</t>
  </si>
  <si>
    <t>候选人</t>
  </si>
  <si>
    <t>目标角色/技能</t>
  </si>
  <si>
    <t>证据/来源</t>
  </si>
  <si>
    <t>能力与角色匹配
18</t>
  </si>
  <si>
    <t>能力互补与岗位覆盖
15</t>
  </si>
  <si>
    <t>可验证作品/交付证据
15</t>
  </si>
  <si>
    <t>相关领域理解
12</t>
  </si>
  <si>
    <t>可投入时间与时段
15</t>
  </si>
  <si>
    <t>数据/用户/资源获取
8</t>
  </si>
  <si>
    <t>与赛题/评审方向匹配
7</t>
  </si>
  <si>
    <t>合作条件与沟通可达性
5</t>
  </si>
  <si>
    <t>参与目标一致性
5</t>
  </si>
  <si>
    <t>证据充分度</t>
  </si>
  <si>
    <t>硬性否决项</t>
  </si>
  <si>
    <t>总分
100</t>
  </si>
  <si>
    <t>建议</t>
  </si>
  <si>
    <t>选择原则：总分只使用赛前可观察证据，不把“人品、执行力、解决问题能力”等后验特质伪装成精确分数。证据不足时先补信息，不要用低分代替未知。</t>
  </si>
  <si>
    <t>建议优先观察：总分高、能力互补明显、已有作品证据充分、时间安排明确，且没有硬性风险的候选人。</t>
  </si>
  <si>
    <t>选队友评分说明</t>
  </si>
  <si>
    <t>评分标准：1 分=非常不符合，3 分=一般可接受，5 分=非常符合。未知信息不要直接打 1 分，先补充事实。</t>
  </si>
  <si>
    <t>评估维度</t>
  </si>
  <si>
    <t>权重</t>
  </si>
  <si>
    <t>核心问题</t>
  </si>
  <si>
    <t>1 分 / 5 分锚点</t>
  </si>
  <si>
    <t>能力与角色匹配</t>
  </si>
  <si>
    <t>按目标角色看，他已有能力是否达到基本要求？</t>
  </si>
  <si>
    <t>1分：关键能力明显不足；5分：有直接相关技能或作品证据</t>
  </si>
  <si>
    <t>能力互补与岗位覆盖</t>
  </si>
  <si>
    <t>他能否补上团队缺少的关键岗位，而不是重复已有能力？</t>
  </si>
  <si>
    <t>1分：技能高度重复；5分：补上关键短板且职责边界清楚</t>
  </si>
  <si>
    <t>可验证作品/交付证据</t>
  </si>
  <si>
    <t>是否能看到 GitHub、作品集、项目链接或可展示成果？</t>
  </si>
  <si>
    <t>1分：没有可核验成果；5分：有多个与目标岗位相关的可核验成果</t>
  </si>
  <si>
    <t>相关领域理解</t>
  </si>
  <si>
    <t>是否理解赛题涉及的行业、用户或业务场景？</t>
  </si>
  <si>
    <t>1分：缺乏基本背景；5分：有相关经历、用户洞察或行业资源</t>
  </si>
  <si>
    <t>可投入时间与时段</t>
  </si>
  <si>
    <t>比赛期间能投入多少时间，时间段是否与团队重合？</t>
  </si>
  <si>
    <t>1分：时间无法保障；5分：时间充足，投入时段已明确</t>
  </si>
  <si>
    <t>数据/用户/资源获取</t>
  </si>
  <si>
    <t>是否能带来数据、真实用户、渠道、设备或其他稀缺资源？</t>
  </si>
  <si>
    <t>1分：无法提供任何稀缺资源；5分：能带来关键数据、用户或渠道</t>
  </si>
  <si>
    <t>与赛题/评审方向匹配</t>
  </si>
  <si>
    <t>其能力和背景是否有助于满足赛题要求与评审重点？</t>
  </si>
  <si>
    <t>1分：与赛题和评审重点无关；5分：与获奖逻辑高度匹配</t>
  </si>
  <si>
    <t>合作条件与沟通可达性</t>
  </si>
  <si>
    <t>地点、时区、语言、工具和联系方式是否适合共同工作？</t>
  </si>
  <si>
    <t>1分：存在明显协作障碍；5分：时间、地点和工具均已对齐</t>
  </si>
  <si>
    <t>参与目标一致性</t>
  </si>
  <si>
    <t>对比赛的目标、投入程度和成果预期是否基本一致？</t>
  </si>
  <si>
    <t>1分：目标明显冲突；5分：目标和投入预期高度一致</t>
  </si>
  <si>
    <t>硬性否决项：存在不诚信、骚扰/歧视、违反比赛规则、无法满足最低时间承诺、无法确认身份与合作边界，或存在明显法律/安全风险时，选择“是”。</t>
  </si>
  <si>
    <t>结论规则：信息未填完=待评分；信息完整且无否决项、总分≥60=建议加入；信息完整但总分&lt;60=暂不建议；硬性否决项=是=不建议加入。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</si>
</sst>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9">
    <font>
      <sz val="11"/>
      <name val="Carlito"/>
      <charset val="134"/>
    </font>
    <font>
      <b/>
      <sz val="16"/>
      <color rgb="FFFFFFFF"/>
      <name val="Aptos"/>
      <charset val="134"/>
    </font>
    <font>
      <i/>
      <sz val="10"/>
      <name val="Aptos"/>
      <charset val="134"/>
    </font>
    <font>
      <sz val="10"/>
      <name val="Aptos"/>
      <charset val="134"/>
    </font>
    <font>
      <b/>
      <sz val="10"/>
      <color rgb="FFFFFFFF"/>
      <name val="Aptos"/>
      <charset val="134"/>
    </font>
    <font>
      <sz val="10"/>
      <color rgb="FF9C0006"/>
      <name val="Aptos"/>
      <charset val="134"/>
    </font>
    <font>
      <sz val="10"/>
      <color rgb="FF7F6000"/>
      <name val="Aptos"/>
      <charset val="134"/>
    </font>
    <font>
      <i/>
      <sz val="10"/>
      <color rgb="FF7F6000"/>
      <name val="Aptos"/>
      <charset val="134"/>
    </font>
    <font>
      <i/>
      <sz val="10"/>
      <color rgb="FF006100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13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/>
    <xf numFmtId="0" fontId="4" fillId="2" borderId="1" xfId="49" applyNumberFormat="1" applyFont="1" applyFill="1" applyBorder="1" applyAlignment="1">
      <alignment horizontal="center" vertical="center" wrapText="1"/>
    </xf>
    <xf numFmtId="0" fontId="3" fillId="0" borderId="2" xfId="49" applyNumberFormat="1" applyFont="1" applyFill="1" applyBorder="1" applyAlignment="1">
      <alignment vertical="center" wrapText="1"/>
    </xf>
    <xf numFmtId="0" fontId="3" fillId="4" borderId="2" xfId="49" applyNumberFormat="1" applyFont="1" applyFill="1" applyBorder="1" applyAlignment="1">
      <alignment horizontal="center" vertical="center" wrapText="1"/>
    </xf>
    <xf numFmtId="0" fontId="5" fillId="5" borderId="0" xfId="49" applyNumberFormat="1" applyFont="1" applyFill="1" applyBorder="1" applyAlignment="1">
      <alignment vertical="center" wrapText="1"/>
    </xf>
    <xf numFmtId="0" fontId="6" fillId="6" borderId="0" xfId="49" applyNumberFormat="1" applyFont="1" applyFill="1" applyBorder="1" applyAlignment="1">
      <alignment vertical="center" wrapText="1"/>
    </xf>
    <xf numFmtId="0" fontId="1" fillId="7" borderId="0" xfId="49" applyNumberFormat="1" applyFont="1" applyFill="1" applyBorder="1" applyAlignment="1">
      <alignment horizontal="center" vertical="center"/>
    </xf>
    <xf numFmtId="0" fontId="2" fillId="8" borderId="0" xfId="49" applyNumberFormat="1" applyFont="1" applyFill="1" applyBorder="1" applyAlignment="1">
      <alignment vertical="center" wrapText="1"/>
    </xf>
    <xf numFmtId="0" fontId="4" fillId="7" borderId="1" xfId="49" applyNumberFormat="1" applyFont="1" applyFill="1" applyBorder="1" applyAlignment="1">
      <alignment horizontal="center" vertical="center" wrapText="1"/>
    </xf>
    <xf numFmtId="0" fontId="3" fillId="9" borderId="2" xfId="49" applyNumberFormat="1" applyFont="1" applyFill="1" applyBorder="1" applyAlignment="1">
      <alignment vertical="center" wrapText="1"/>
    </xf>
    <xf numFmtId="0" fontId="3" fillId="6" borderId="2" xfId="49" applyNumberFormat="1" applyFont="1" applyFill="1" applyBorder="1" applyAlignment="1">
      <alignment horizontal="center" vertical="center" wrapText="1"/>
    </xf>
    <xf numFmtId="0" fontId="3" fillId="5" borderId="2" xfId="49" applyNumberFormat="1" applyFont="1" applyFill="1" applyBorder="1" applyAlignment="1">
      <alignment horizontal="center" vertical="center" wrapText="1"/>
    </xf>
    <xf numFmtId="176" fontId="3" fillId="4" borderId="2" xfId="49" applyNumberFormat="1" applyFont="1" applyFill="1" applyBorder="1" applyAlignment="1">
      <alignment horizontal="center" vertical="center" wrapText="1"/>
    </xf>
    <xf numFmtId="0" fontId="7" fillId="6" borderId="0" xfId="49" applyNumberFormat="1" applyFont="1" applyFill="1" applyBorder="1" applyAlignment="1">
      <alignment vertical="center" wrapText="1"/>
    </xf>
    <xf numFmtId="0" fontId="8" fillId="3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P18"/>
  <sheetViews>
    <sheetView showGridLines="0" tabSelected="1" workbookViewId="0">
      <pane ySplit="4" topLeftCell="A5" activePane="bottomLeft" state="frozen"/>
      <selection/>
      <selection pane="bottomLeft" activeCell="A1" sqref="A1:P1"/>
    </sheetView>
  </sheetViews>
  <sheetFormatPr defaultColWidth="9" defaultRowHeight="16.8"/>
  <cols>
    <col min="1" max="2" width="15" customWidth="1"/>
    <col min="3" max="3" width="23" customWidth="1"/>
    <col min="4" max="14" width="11" customWidth="1"/>
    <col min="15" max="16" width="13" customWidth="1"/>
  </cols>
  <sheetData>
    <row r="1" ht="30" customHeight="1" spans="1:1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ht="30" customHeight="1" spans="1:16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42" customHeight="1" spans="1:16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1" t="s">
        <v>16</v>
      </c>
      <c r="P4" s="11" t="s">
        <v>17</v>
      </c>
    </row>
    <row r="5" ht="38" customHeight="1" spans="1:16">
      <c r="A5" s="12"/>
      <c r="B5" s="12"/>
      <c r="C5" s="12"/>
      <c r="D5" s="13"/>
      <c r="E5" s="13"/>
      <c r="F5" s="13"/>
      <c r="G5" s="13"/>
      <c r="H5" s="13"/>
      <c r="I5" s="13"/>
      <c r="J5" s="13"/>
      <c r="K5" s="13"/>
      <c r="L5" s="13"/>
      <c r="M5" s="6"/>
      <c r="N5" s="14"/>
      <c r="O5" s="15" t="str">
        <f>IF(COUNTA(D5:L5)&lt;9,"",SUMPRODUCT(D5:L5,评分说明!$B$5:$B$13)/5)</f>
        <v/>
      </c>
      <c r="P5" s="6" t="str">
        <f t="shared" ref="P5:P14" si="0">IF(A5="","",IF(COUNTA(D5:L5)&lt;9,"待评分",IF(N5="是","不建议加入",IF(O5&gt;=60,"建议加入","暂不建议"))))</f>
        <v/>
      </c>
    </row>
    <row r="6" ht="38" customHeight="1" spans="1:16">
      <c r="A6" s="12"/>
      <c r="B6" s="12"/>
      <c r="C6" s="12"/>
      <c r="D6" s="13"/>
      <c r="E6" s="13"/>
      <c r="F6" s="13"/>
      <c r="G6" s="13"/>
      <c r="H6" s="13"/>
      <c r="I6" s="13"/>
      <c r="J6" s="13"/>
      <c r="K6" s="13"/>
      <c r="L6" s="13"/>
      <c r="M6" s="6"/>
      <c r="N6" s="14"/>
      <c r="O6" s="15" t="str">
        <f>IF(COUNTA(D6:L6)&lt;9,"",SUMPRODUCT(D6:L6,评分说明!$B$5:$B$13)/5)</f>
        <v/>
      </c>
      <c r="P6" s="6" t="str">
        <f t="shared" si="0"/>
        <v/>
      </c>
    </row>
    <row r="7" ht="38" customHeight="1" spans="1:16">
      <c r="A7" s="12"/>
      <c r="B7" s="12"/>
      <c r="C7" s="12"/>
      <c r="D7" s="13"/>
      <c r="E7" s="13"/>
      <c r="F7" s="13"/>
      <c r="G7" s="13"/>
      <c r="H7" s="13"/>
      <c r="I7" s="13"/>
      <c r="J7" s="13"/>
      <c r="K7" s="13"/>
      <c r="L7" s="13"/>
      <c r="M7" s="6"/>
      <c r="N7" s="14"/>
      <c r="O7" s="15" t="str">
        <f>IF(COUNTA(D7:L7)&lt;9,"",SUMPRODUCT(D7:L7,评分说明!$B$5:$B$13)/5)</f>
        <v/>
      </c>
      <c r="P7" s="6" t="str">
        <f t="shared" si="0"/>
        <v/>
      </c>
    </row>
    <row r="8" ht="38" customHeight="1" spans="1:16">
      <c r="A8" s="12"/>
      <c r="B8" s="12"/>
      <c r="C8" s="12"/>
      <c r="D8" s="13"/>
      <c r="E8" s="13"/>
      <c r="F8" s="13"/>
      <c r="G8" s="13"/>
      <c r="H8" s="13"/>
      <c r="I8" s="13"/>
      <c r="J8" s="13"/>
      <c r="K8" s="13"/>
      <c r="L8" s="13"/>
      <c r="M8" s="6"/>
      <c r="N8" s="14"/>
      <c r="O8" s="15" t="str">
        <f>IF(COUNTA(D8:L8)&lt;9,"",SUMPRODUCT(D8:L8,评分说明!$B$5:$B$13)/5)</f>
        <v/>
      </c>
      <c r="P8" s="6" t="str">
        <f t="shared" si="0"/>
        <v/>
      </c>
    </row>
    <row r="9" ht="38" customHeight="1" spans="1:16">
      <c r="A9" s="12"/>
      <c r="B9" s="12"/>
      <c r="C9" s="12"/>
      <c r="D9" s="13"/>
      <c r="E9" s="13"/>
      <c r="F9" s="13"/>
      <c r="G9" s="13"/>
      <c r="H9" s="13"/>
      <c r="I9" s="13"/>
      <c r="J9" s="13"/>
      <c r="K9" s="13"/>
      <c r="L9" s="13"/>
      <c r="M9" s="6"/>
      <c r="N9" s="14"/>
      <c r="O9" s="15" t="str">
        <f>IF(COUNTA(D9:L9)&lt;9,"",SUMPRODUCT(D9:L9,评分说明!$B$5:$B$13)/5)</f>
        <v/>
      </c>
      <c r="P9" s="6" t="str">
        <f t="shared" si="0"/>
        <v/>
      </c>
    </row>
    <row r="10" ht="38" customHeight="1" spans="1:16">
      <c r="A10" s="12"/>
      <c r="B10" s="12"/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6"/>
      <c r="N10" s="14"/>
      <c r="O10" s="15" t="str">
        <f>IF(COUNTA(D10:L10)&lt;9,"",SUMPRODUCT(D10:L10,评分说明!$B$5:$B$13)/5)</f>
        <v/>
      </c>
      <c r="P10" s="6" t="str">
        <f t="shared" si="0"/>
        <v/>
      </c>
    </row>
    <row r="11" ht="38" customHeight="1" spans="1:16">
      <c r="A11" s="12"/>
      <c r="B11" s="12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6"/>
      <c r="N11" s="14"/>
      <c r="O11" s="15" t="str">
        <f>IF(COUNTA(D11:L11)&lt;9,"",SUMPRODUCT(D11:L11,评分说明!$B$5:$B$13)/5)</f>
        <v/>
      </c>
      <c r="P11" s="6" t="str">
        <f t="shared" si="0"/>
        <v/>
      </c>
    </row>
    <row r="12" ht="38" customHeight="1" spans="1:16">
      <c r="A12" s="12"/>
      <c r="B12" s="12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6"/>
      <c r="N12" s="14"/>
      <c r="O12" s="15" t="str">
        <f>IF(COUNTA(D12:L12)&lt;9,"",SUMPRODUCT(D12:L12,评分说明!$B$5:$B$13)/5)</f>
        <v/>
      </c>
      <c r="P12" s="6" t="str">
        <f t="shared" si="0"/>
        <v/>
      </c>
    </row>
    <row r="13" ht="38" customHeight="1" spans="1:16">
      <c r="A13" s="12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6"/>
      <c r="N13" s="14"/>
      <c r="O13" s="15" t="str">
        <f>IF(COUNTA(D13:L13)&lt;9,"",SUMPRODUCT(D13:L13,评分说明!$B$5:$B$13)/5)</f>
        <v/>
      </c>
      <c r="P13" s="6" t="str">
        <f t="shared" si="0"/>
        <v/>
      </c>
    </row>
    <row r="14" ht="38" customHeight="1" spans="1:16">
      <c r="A14" s="12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6"/>
      <c r="N14" s="14"/>
      <c r="O14" s="15" t="str">
        <f>IF(COUNTA(D14:L14)&lt;9,"",SUMPRODUCT(D14:L14,评分说明!$B$5:$B$13)/5)</f>
        <v/>
      </c>
      <c r="P14" s="6" t="str">
        <f t="shared" si="0"/>
        <v/>
      </c>
    </row>
    <row r="15" spans="1:1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ht="34" customHeight="1" spans="1:16">
      <c r="A16" s="16" t="s">
        <v>18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1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30" customHeight="1" spans="1:16">
      <c r="A18" s="17" t="s">
        <v>19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</row>
  </sheetData>
  <mergeCells count="4">
    <mergeCell ref="A1:P1"/>
    <mergeCell ref="A2:P2"/>
    <mergeCell ref="A16:P16"/>
    <mergeCell ref="A18:P18"/>
  </mergeCells>
  <conditionalFormatting sqref="O5:O14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{4e007e76-44b0-4cdf-b8db-7f843f48ea43}</x14:id>
        </ext>
      </extLst>
    </cfRule>
  </conditionalFormatting>
  <conditionalFormatting sqref="P5:P14">
    <cfRule type="containsText" dxfId="0" priority="2" operator="between" text="建议加入">
      <formula>NOT(ISERROR(SEARCH("建议加入",P5)))</formula>
    </cfRule>
    <cfRule type="containsText" dxfId="1" priority="3" operator="between" text="不建议加入">
      <formula>NOT(ISERROR(SEARCH("不建议加入",P5)))</formula>
    </cfRule>
    <cfRule type="containsText" dxfId="2" priority="4" operator="between" text="暂不建议">
      <formula>NOT(ISERROR(SEARCH("暂不建议",P5)))</formula>
    </cfRule>
  </conditionalFormatting>
  <dataValidations count="3">
    <dataValidation type="list" sqref="M5:M14">
      <formula1>"高,中,低"</formula1>
    </dataValidation>
    <dataValidation type="list" sqref="N5:N14">
      <formula1>"否,是"</formula1>
    </dataValidation>
    <dataValidation type="whole" operator="between" sqref="D5:L14">
      <formula1>1</formula1>
      <formula2>5</formula2>
    </dataValidation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007e76-44b0-4cdf-b8db-7f843f48ea43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O5:O14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D17"/>
  <sheetViews>
    <sheetView showGridLines="0" workbookViewId="0">
      <selection activeCell="A1" sqref="A1:D1"/>
    </sheetView>
  </sheetViews>
  <sheetFormatPr defaultColWidth="9" defaultRowHeight="16.8" outlineLevelCol="3"/>
  <cols>
    <col min="1" max="1" width="18" customWidth="1"/>
    <col min="2" max="2" width="9" customWidth="1"/>
    <col min="3" max="3" width="30" customWidth="1"/>
    <col min="4" max="4" width="52" customWidth="1"/>
  </cols>
  <sheetData>
    <row r="1" ht="30" customHeight="1" spans="1:4">
      <c r="A1" s="1" t="s">
        <v>20</v>
      </c>
      <c r="B1" s="1"/>
      <c r="C1" s="1"/>
      <c r="D1" s="1"/>
    </row>
    <row r="2" ht="30" customHeight="1" spans="1:4">
      <c r="A2" s="2" t="s">
        <v>21</v>
      </c>
      <c r="B2" s="2"/>
      <c r="C2" s="2"/>
      <c r="D2" s="2"/>
    </row>
    <row r="3" spans="1:4">
      <c r="A3" s="3"/>
      <c r="B3" s="3"/>
      <c r="C3" s="3"/>
      <c r="D3" s="3"/>
    </row>
    <row r="4" ht="30" customHeight="1" spans="1:4">
      <c r="A4" s="4" t="s">
        <v>22</v>
      </c>
      <c r="B4" s="4" t="s">
        <v>23</v>
      </c>
      <c r="C4" s="4" t="s">
        <v>24</v>
      </c>
      <c r="D4" s="4" t="s">
        <v>25</v>
      </c>
    </row>
    <row r="5" ht="48" customHeight="1" spans="1:4">
      <c r="A5" s="5" t="s">
        <v>26</v>
      </c>
      <c r="B5" s="6">
        <v>18</v>
      </c>
      <c r="C5" s="5" t="s">
        <v>27</v>
      </c>
      <c r="D5" s="5" t="s">
        <v>28</v>
      </c>
    </row>
    <row r="6" ht="48" customHeight="1" spans="1:4">
      <c r="A6" s="5" t="s">
        <v>29</v>
      </c>
      <c r="B6" s="6">
        <v>15</v>
      </c>
      <c r="C6" s="5" t="s">
        <v>30</v>
      </c>
      <c r="D6" s="5" t="s">
        <v>31</v>
      </c>
    </row>
    <row r="7" ht="48" customHeight="1" spans="1:4">
      <c r="A7" s="5" t="s">
        <v>32</v>
      </c>
      <c r="B7" s="6">
        <v>15</v>
      </c>
      <c r="C7" s="5" t="s">
        <v>33</v>
      </c>
      <c r="D7" s="5" t="s">
        <v>34</v>
      </c>
    </row>
    <row r="8" ht="48" customHeight="1" spans="1:4">
      <c r="A8" s="5" t="s">
        <v>35</v>
      </c>
      <c r="B8" s="6">
        <v>12</v>
      </c>
      <c r="C8" s="5" t="s">
        <v>36</v>
      </c>
      <c r="D8" s="5" t="s">
        <v>37</v>
      </c>
    </row>
    <row r="9" ht="48" customHeight="1" spans="1:4">
      <c r="A9" s="5" t="s">
        <v>38</v>
      </c>
      <c r="B9" s="6">
        <v>15</v>
      </c>
      <c r="C9" s="5" t="s">
        <v>39</v>
      </c>
      <c r="D9" s="5" t="s">
        <v>40</v>
      </c>
    </row>
    <row r="10" ht="48" customHeight="1" spans="1:4">
      <c r="A10" s="5" t="s">
        <v>41</v>
      </c>
      <c r="B10" s="6">
        <v>8</v>
      </c>
      <c r="C10" s="5" t="s">
        <v>42</v>
      </c>
      <c r="D10" s="5" t="s">
        <v>43</v>
      </c>
    </row>
    <row r="11" ht="48" customHeight="1" spans="1:4">
      <c r="A11" s="5" t="s">
        <v>44</v>
      </c>
      <c r="B11" s="6">
        <v>7</v>
      </c>
      <c r="C11" s="5" t="s">
        <v>45</v>
      </c>
      <c r="D11" s="5" t="s">
        <v>46</v>
      </c>
    </row>
    <row r="12" ht="48" customHeight="1" spans="1:4">
      <c r="A12" s="5" t="s">
        <v>47</v>
      </c>
      <c r="B12" s="6">
        <v>5</v>
      </c>
      <c r="C12" s="5" t="s">
        <v>48</v>
      </c>
      <c r="D12" s="5" t="s">
        <v>49</v>
      </c>
    </row>
    <row r="13" ht="48" customHeight="1" spans="1:4">
      <c r="A13" s="5" t="s">
        <v>50</v>
      </c>
      <c r="B13" s="6">
        <v>5</v>
      </c>
      <c r="C13" s="5" t="s">
        <v>51</v>
      </c>
      <c r="D13" s="5" t="s">
        <v>52</v>
      </c>
    </row>
    <row r="14" spans="1:4">
      <c r="A14" s="3"/>
      <c r="B14" s="3"/>
      <c r="C14" s="3"/>
      <c r="D14" s="3"/>
    </row>
    <row r="15" ht="40" customHeight="1" spans="1:4">
      <c r="A15" s="7" t="s">
        <v>53</v>
      </c>
      <c r="B15" s="7"/>
      <c r="C15" s="7"/>
      <c r="D15" s="7"/>
    </row>
    <row r="16" spans="1:4">
      <c r="A16" s="3"/>
      <c r="B16" s="3"/>
      <c r="C16" s="3"/>
      <c r="D16" s="3"/>
    </row>
    <row r="17" ht="35" customHeight="1" spans="1:4">
      <c r="A17" s="8" t="s">
        <v>54</v>
      </c>
      <c r="B17" s="8"/>
      <c r="C17" s="8"/>
      <c r="D17" s="8"/>
    </row>
  </sheetData>
  <mergeCells count="4">
    <mergeCell ref="A1:D1"/>
    <mergeCell ref="A2:D2"/>
    <mergeCell ref="A15:D15"/>
    <mergeCell ref="A17:D1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候选人对比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飞光飞光</cp:lastModifiedBy>
  <dcterms:created xsi:type="dcterms:W3CDTF">2026-09-22T10:09:33Z</dcterms:created>
  <dcterms:modified xsi:type="dcterms:W3CDTF">2026-09-22T11:33:45Z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050D3BD06C20E96119F7B16A1B7A301E_42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