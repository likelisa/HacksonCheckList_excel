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340"/>
  </bookViews>
  <sheets>
    <sheet name="评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<sst xmlns="http://schemas.openxmlformats.org/spreadsheetml/2006/main" count="87" uniqueCount="68">
  <si>
    <t>这场黑客松“值得去吗？”评分表</t>
  </si>
  <si>
    <t>填写方法：每项按 1–5 分评分；系统按权重换算为 100 分。总分 ≥ 60 为“值得去”。</t>
  </si>
  <si>
    <t>快速结论</t>
  </si>
  <si>
    <t>硬性否决项说明</t>
  </si>
  <si>
    <t/>
  </si>
  <si>
    <t>总分（满分100）</t>
  </si>
  <si>
    <t>如只是“信息未知”，不要直接当作 1 分；先记在“证据/备注”中，补充信息后再评分。</t>
  </si>
  <si>
    <t>判断门槛</t>
  </si>
  <si>
    <t>分数解释</t>
  </si>
  <si>
    <t>1分=非常差</t>
  </si>
  <si>
    <t>3分=一般可接受</t>
  </si>
  <si>
    <t>5分=非常好</t>
  </si>
  <si>
    <t>与门槛差距</t>
  </si>
  <si>
    <t>权重原则</t>
  </si>
  <si>
    <t>收益与成长占主导</t>
  </si>
  <si>
    <t>成本与风险必须被扣分</t>
  </si>
  <si>
    <t>避免“奖金高就盲目参加”</t>
  </si>
  <si>
    <t>硬性否决项</t>
  </si>
  <si>
    <t>否</t>
  </si>
  <si>
    <t>评分完整度</t>
  </si>
  <si>
    <t>评估维度</t>
  </si>
  <si>
    <t>权重</t>
  </si>
  <si>
    <t>评分（1-5）</t>
  </si>
  <si>
    <t>加权得分</t>
  </si>
  <si>
    <t>评估问题</t>
  </si>
  <si>
    <t>1分锚点</t>
  </si>
  <si>
    <t>5分锚点</t>
  </si>
  <si>
    <t>证据/备注</t>
  </si>
  <si>
    <t>奖金/资源价值</t>
  </si>
  <si>
    <t>奖金高不高？资源好不好？是否和自己匹配？（如想要AI硬件的同学可以参加黑客松白嫖设备和经验）</t>
  </si>
  <si>
    <t>几乎没有实际价值</t>
  </si>
  <si>
    <t>资源稀缺且高度匹配</t>
  </si>
  <si>
    <t>学习与成长</t>
  </si>
  <si>
    <t>能否显著提升技术、产品或商业能力？</t>
  </si>
  <si>
    <t>重复已会的内容</t>
  </si>
  <si>
    <t>能接触关键技术/高手/实战</t>
  </si>
  <si>
    <t>项目匹配度</t>
  </si>
  <si>
    <t>主题是否贴合我的方向、作品集或长期目标？</t>
  </si>
  <si>
    <t>偏离方向</t>
  </si>
  <si>
    <t>与目标高度一致</t>
  </si>
  <si>
    <t>人脉与曝光</t>
  </si>
  <si>
    <t>是否能接触潜在合作方、客户、投资人或优秀选手？</t>
  </si>
  <si>
    <t>几乎没有有效连接</t>
  </si>
  <si>
    <t>能进入高质量圈层</t>
  </si>
  <si>
    <t>获奖/产出概率</t>
  </si>
  <si>
    <t>以当前队伍、时间和能力，拿到结果的概率如何？</t>
  </si>
  <si>
    <t>胜率极低、产出难成型</t>
  </si>
  <si>
    <t>有明确优势且可落地</t>
  </si>
  <si>
    <t>时间机会成本</t>
  </si>
  <si>
    <t>占用的时间是否值得，是否会挤压更重要的事？</t>
  </si>
  <si>
    <t>严重挤压关键事项</t>
  </si>
  <si>
    <t>时间成本很低或回报极高</t>
  </si>
  <si>
    <t>组织与赛制可靠性</t>
  </si>
  <si>
    <t>主办方、规则、评审、交付和后续兑现是否可信？</t>
  </si>
  <si>
    <t>规则混乱/承诺不可信</t>
  </si>
  <si>
    <t>流程透明、兑现记录好</t>
  </si>
  <si>
    <t>组队与执行条件</t>
  </si>
  <si>
    <t>队友、分工、技术栈、场地和设备是否到位？</t>
  </si>
  <si>
    <t>缺关键角色或无法协作</t>
  </si>
  <si>
    <t>队伍互补、执行条件成熟</t>
  </si>
  <si>
    <t>旅费/现金成本</t>
  </si>
  <si>
    <t>报名、交通、住宿、设备和餐饮成本是否可承受？</t>
  </si>
  <si>
    <t>成本明显超出预算</t>
  </si>
  <si>
    <t>几乎无额外成本或有补贴</t>
  </si>
  <si>
    <t>身心压力与不确定性</t>
  </si>
  <si>
    <t>熬夜、奔波、健康和临时变化是否可接受？</t>
  </si>
  <si>
    <t>高风险、高压力</t>
  </si>
  <si>
    <t>节奏可控、身心负担小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</si>
</sst>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b/>
      <sz val="16"/>
      <color rgb="FFFFFFFF"/>
      <name val="Aptos"/>
      <charset val="134"/>
    </font>
    <font>
      <i/>
      <sz val="10"/>
      <color rgb="FF1F1F1F"/>
      <name val="Aptos"/>
      <charset val="134"/>
    </font>
    <font>
      <sz val="10"/>
      <name val="Aptos"/>
      <charset val="134"/>
    </font>
    <font>
      <b/>
      <sz val="10"/>
      <color rgb="FF1F4E78"/>
      <name val="Aptos"/>
      <charset val="134"/>
    </font>
    <font>
      <b/>
      <sz val="10"/>
      <color rgb="FF7F6000"/>
      <name val="Aptos"/>
      <charset val="134"/>
    </font>
    <font>
      <b/>
      <sz val="10"/>
      <color rgb="FFFFFFFF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/>
    <xf numFmtId="0" fontId="4" fillId="4" borderId="1" xfId="49" applyNumberFormat="1" applyFont="1" applyFill="1" applyBorder="1" applyAlignment="1">
      <alignment vertical="center"/>
    </xf>
    <xf numFmtId="0" fontId="5" fillId="5" borderId="1" xfId="49" applyNumberFormat="1" applyFont="1" applyFill="1" applyBorder="1" applyAlignment="1">
      <alignment horizontal="center" vertical="center"/>
    </xf>
    <xf numFmtId="0" fontId="4" fillId="3" borderId="1" xfId="49" applyNumberFormat="1" applyFont="1" applyFill="1" applyBorder="1" applyAlignment="1">
      <alignment vertical="center" wrapText="1"/>
    </xf>
    <xf numFmtId="176" fontId="3" fillId="6" borderId="1" xfId="49" applyNumberFormat="1" applyFont="1" applyFill="1" applyBorder="1" applyAlignment="1">
      <alignment horizontal="center" vertical="center"/>
    </xf>
    <xf numFmtId="0" fontId="3" fillId="7" borderId="2" xfId="49" applyNumberFormat="1" applyFont="1" applyFill="1" applyBorder="1" applyAlignment="1">
      <alignment vertical="center" wrapText="1"/>
    </xf>
    <xf numFmtId="0" fontId="3" fillId="6" borderId="1" xfId="49" applyNumberFormat="1" applyFont="1" applyFill="1" applyBorder="1" applyAlignment="1">
      <alignment horizontal="center" vertical="center"/>
    </xf>
    <xf numFmtId="9" fontId="3" fillId="6" borderId="1" xfId="49" applyNumberFormat="1" applyFont="1" applyFill="1" applyBorder="1" applyAlignment="1">
      <alignment horizontal="center" vertical="center"/>
    </xf>
    <xf numFmtId="0" fontId="6" fillId="2" borderId="3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vertical="center" wrapText="1"/>
    </xf>
    <xf numFmtId="1" fontId="3" fillId="0" borderId="4" xfId="49" applyNumberFormat="1" applyFont="1" applyFill="1" applyBorder="1" applyAlignment="1">
      <alignment vertical="center" wrapText="1"/>
    </xf>
    <xf numFmtId="0" fontId="3" fillId="5" borderId="4" xfId="49" applyNumberFormat="1" applyFont="1" applyFill="1" applyBorder="1" applyAlignment="1">
      <alignment horizontal="center" vertical="center" wrapText="1"/>
    </xf>
    <xf numFmtId="176" fontId="3" fillId="0" borderId="4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H23"/>
  <sheetViews>
    <sheetView showGridLines="0" tabSelected="1" workbookViewId="0">
      <pane ySplit="11" topLeftCell="A18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2.5" customWidth="1"/>
    <col min="2" max="2" width="7.58823529411765" customWidth="1"/>
    <col min="3" max="3" width="9.79411764705882" customWidth="1"/>
    <col min="4" max="4" width="8.20588235294118" customWidth="1"/>
    <col min="5" max="5" width="15.8014705882353" customWidth="1"/>
    <col min="6" max="6" width="9.55882352941176" customWidth="1"/>
    <col min="7" max="7" width="13.2279411764706" customWidth="1"/>
    <col min="8" max="8" width="12.75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2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4" t="s">
        <v>2</v>
      </c>
      <c r="B4" s="5" t="str">
        <f>IF(B9&lt;1,"待评分",IF(B8="是","不值得去",IF(B5&gt;=B6,"值得去","不值得去")))</f>
        <v>值得去</v>
      </c>
      <c r="C4" s="3"/>
      <c r="D4" s="6" t="s">
        <v>3</v>
      </c>
      <c r="E4" s="6" t="s">
        <v>4</v>
      </c>
      <c r="F4" s="6" t="s">
        <v>4</v>
      </c>
      <c r="G4" s="6" t="s">
        <v>4</v>
      </c>
      <c r="H4" s="6" t="s">
        <v>4</v>
      </c>
    </row>
    <row r="5" spans="1:8">
      <c r="A5" s="4" t="s">
        <v>5</v>
      </c>
      <c r="B5" s="7">
        <f>IF(B9&lt;1,"",SUM(D13:D22))</f>
        <v>88.8</v>
      </c>
      <c r="C5" s="3"/>
      <c r="D5" s="8" t="s">
        <v>6</v>
      </c>
      <c r="E5" s="8" t="s">
        <v>4</v>
      </c>
      <c r="F5" s="8" t="s">
        <v>4</v>
      </c>
      <c r="G5" s="8" t="s">
        <v>4</v>
      </c>
      <c r="H5" s="8" t="s">
        <v>4</v>
      </c>
    </row>
    <row r="6" spans="1:8">
      <c r="A6" s="4" t="s">
        <v>7</v>
      </c>
      <c r="B6" s="7">
        <v>60</v>
      </c>
      <c r="C6" s="3"/>
      <c r="D6" s="8" t="s">
        <v>8</v>
      </c>
      <c r="E6" s="8" t="s">
        <v>9</v>
      </c>
      <c r="F6" s="8" t="s">
        <v>10</v>
      </c>
      <c r="G6" s="8" t="s">
        <v>11</v>
      </c>
      <c r="H6" s="8" t="s">
        <v>4</v>
      </c>
    </row>
    <row r="7" spans="1:8">
      <c r="A7" s="4" t="s">
        <v>12</v>
      </c>
      <c r="B7" s="7">
        <f>IF(B9&lt;1,"",B5-B6)</f>
        <v>28.8</v>
      </c>
      <c r="C7" s="3"/>
      <c r="D7" s="8" t="s">
        <v>13</v>
      </c>
      <c r="E7" s="8" t="s">
        <v>14</v>
      </c>
      <c r="F7" s="8" t="s">
        <v>15</v>
      </c>
      <c r="G7" s="8" t="s">
        <v>16</v>
      </c>
      <c r="H7" s="8" t="s">
        <v>4</v>
      </c>
    </row>
    <row r="8" spans="1:8">
      <c r="A8" s="4" t="s">
        <v>17</v>
      </c>
      <c r="B8" s="9" t="s">
        <v>18</v>
      </c>
      <c r="C8" s="3"/>
    </row>
    <row r="9" spans="1:8">
      <c r="A9" s="4" t="s">
        <v>19</v>
      </c>
      <c r="B9" s="10">
        <f>COUNT(C13:C22)/10</f>
        <v>1</v>
      </c>
      <c r="C9" s="3"/>
    </row>
    <row r="10" spans="1:8">
      <c r="A10" s="3"/>
      <c r="B10" s="3"/>
      <c r="C10" s="3"/>
      <c r="D10" s="3"/>
      <c r="E10" s="3"/>
      <c r="F10" s="3"/>
      <c r="G10" s="3"/>
      <c r="H10" s="3"/>
    </row>
    <row r="11" ht="34" customHeight="1" spans="1:8">
      <c r="A11" s="11" t="s">
        <v>20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1" t="s">
        <v>26</v>
      </c>
      <c r="H11" s="11" t="s">
        <v>27</v>
      </c>
    </row>
    <row r="12" spans="1:8">
      <c r="A12" s="3"/>
      <c r="B12" s="3"/>
      <c r="C12" s="3"/>
      <c r="D12" s="3"/>
      <c r="E12" s="3"/>
      <c r="F12" s="3"/>
      <c r="G12" s="3"/>
      <c r="H12" s="3"/>
    </row>
    <row r="13" ht="48" customHeight="1" spans="1:8">
      <c r="A13" s="12" t="s">
        <v>28</v>
      </c>
      <c r="B13" s="13">
        <v>15</v>
      </c>
      <c r="C13" s="14">
        <v>5</v>
      </c>
      <c r="D13" s="15">
        <f t="shared" ref="D13:D22" si="0">IF(C13="","",C13/5*B13)</f>
        <v>15</v>
      </c>
      <c r="E13" s="12" t="s">
        <v>29</v>
      </c>
      <c r="F13" s="12" t="s">
        <v>30</v>
      </c>
      <c r="G13" s="12" t="s">
        <v>31</v>
      </c>
      <c r="H13" s="12" t="s">
        <v>4</v>
      </c>
    </row>
    <row r="14" ht="48" customHeight="1" spans="1:8">
      <c r="A14" s="12" t="s">
        <v>32</v>
      </c>
      <c r="B14" s="13">
        <v>15</v>
      </c>
      <c r="C14" s="14">
        <v>5</v>
      </c>
      <c r="D14" s="15">
        <f t="shared" si="0"/>
        <v>15</v>
      </c>
      <c r="E14" s="12" t="s">
        <v>33</v>
      </c>
      <c r="F14" s="12" t="s">
        <v>34</v>
      </c>
      <c r="G14" s="12" t="s">
        <v>35</v>
      </c>
      <c r="H14" s="12" t="s">
        <v>4</v>
      </c>
    </row>
    <row r="15" ht="48" customHeight="1" spans="1:8">
      <c r="A15" s="12" t="s">
        <v>36</v>
      </c>
      <c r="B15" s="13">
        <v>12</v>
      </c>
      <c r="C15" s="14">
        <v>5</v>
      </c>
      <c r="D15" s="15">
        <f t="shared" si="0"/>
        <v>12</v>
      </c>
      <c r="E15" s="12" t="s">
        <v>37</v>
      </c>
      <c r="F15" s="12" t="s">
        <v>38</v>
      </c>
      <c r="G15" s="12" t="s">
        <v>39</v>
      </c>
      <c r="H15" s="12" t="s">
        <v>4</v>
      </c>
    </row>
    <row r="16" ht="48" customHeight="1" spans="1:8">
      <c r="A16" s="12" t="s">
        <v>40</v>
      </c>
      <c r="B16" s="13">
        <v>10</v>
      </c>
      <c r="C16" s="14">
        <v>5</v>
      </c>
      <c r="D16" s="15">
        <f t="shared" si="0"/>
        <v>10</v>
      </c>
      <c r="E16" s="12" t="s">
        <v>41</v>
      </c>
      <c r="F16" s="12" t="s">
        <v>42</v>
      </c>
      <c r="G16" s="12" t="s">
        <v>43</v>
      </c>
      <c r="H16" s="12" t="s">
        <v>4</v>
      </c>
    </row>
    <row r="17" ht="48" customHeight="1" spans="1:8">
      <c r="A17" s="12" t="s">
        <v>44</v>
      </c>
      <c r="B17" s="13">
        <v>10</v>
      </c>
      <c r="C17" s="14">
        <v>5</v>
      </c>
      <c r="D17" s="15">
        <f t="shared" si="0"/>
        <v>10</v>
      </c>
      <c r="E17" s="12" t="s">
        <v>45</v>
      </c>
      <c r="F17" s="12" t="s">
        <v>46</v>
      </c>
      <c r="G17" s="12" t="s">
        <v>47</v>
      </c>
      <c r="H17" s="12" t="s">
        <v>4</v>
      </c>
    </row>
    <row r="18" ht="48" customHeight="1" spans="1:8">
      <c r="A18" s="12" t="s">
        <v>48</v>
      </c>
      <c r="B18" s="13">
        <v>10</v>
      </c>
      <c r="C18" s="14">
        <v>5</v>
      </c>
      <c r="D18" s="15">
        <f t="shared" si="0"/>
        <v>10</v>
      </c>
      <c r="E18" s="12" t="s">
        <v>49</v>
      </c>
      <c r="F18" s="12" t="s">
        <v>50</v>
      </c>
      <c r="G18" s="12" t="s">
        <v>51</v>
      </c>
      <c r="H18" s="12" t="s">
        <v>4</v>
      </c>
    </row>
    <row r="19" ht="48" customHeight="1" spans="1:8">
      <c r="A19" s="12" t="s">
        <v>52</v>
      </c>
      <c r="B19" s="13">
        <v>8</v>
      </c>
      <c r="C19" s="14">
        <v>5</v>
      </c>
      <c r="D19" s="15">
        <f t="shared" si="0"/>
        <v>8</v>
      </c>
      <c r="E19" s="12" t="s">
        <v>53</v>
      </c>
      <c r="F19" s="12" t="s">
        <v>54</v>
      </c>
      <c r="G19" s="12" t="s">
        <v>55</v>
      </c>
      <c r="H19" s="12" t="s">
        <v>4</v>
      </c>
    </row>
    <row r="20" ht="48" customHeight="1" spans="1:8">
      <c r="A20" s="12" t="s">
        <v>56</v>
      </c>
      <c r="B20" s="13">
        <v>8</v>
      </c>
      <c r="C20" s="14">
        <v>1</v>
      </c>
      <c r="D20" s="15">
        <f t="shared" si="0"/>
        <v>1.6</v>
      </c>
      <c r="E20" s="12" t="s">
        <v>57</v>
      </c>
      <c r="F20" s="12" t="s">
        <v>58</v>
      </c>
      <c r="G20" s="12" t="s">
        <v>59</v>
      </c>
      <c r="H20" s="12" t="s">
        <v>4</v>
      </c>
    </row>
    <row r="21" ht="48" customHeight="1" spans="1:8">
      <c r="A21" s="12" t="s">
        <v>60</v>
      </c>
      <c r="B21" s="13">
        <v>7</v>
      </c>
      <c r="C21" s="14">
        <v>3</v>
      </c>
      <c r="D21" s="15">
        <f t="shared" si="0"/>
        <v>4.2</v>
      </c>
      <c r="E21" s="12" t="s">
        <v>61</v>
      </c>
      <c r="F21" s="12" t="s">
        <v>62</v>
      </c>
      <c r="G21" s="12" t="s">
        <v>63</v>
      </c>
      <c r="H21" s="12" t="s">
        <v>4</v>
      </c>
    </row>
    <row r="22" ht="48" customHeight="1" spans="1:8">
      <c r="A22" s="12" t="s">
        <v>64</v>
      </c>
      <c r="B22" s="13">
        <v>5</v>
      </c>
      <c r="C22" s="14">
        <v>3</v>
      </c>
      <c r="D22" s="15">
        <f t="shared" si="0"/>
        <v>3</v>
      </c>
      <c r="E22" s="12" t="s">
        <v>65</v>
      </c>
      <c r="F22" s="12" t="s">
        <v>66</v>
      </c>
      <c r="G22" s="12" t="s">
        <v>67</v>
      </c>
      <c r="H22" s="12" t="s">
        <v>4</v>
      </c>
    </row>
    <row r="23" spans="1:8">
      <c r="A23" s="3"/>
      <c r="B23" s="3"/>
      <c r="C23" s="3"/>
      <c r="D23" s="3"/>
      <c r="E23" s="3"/>
      <c r="F23" s="3"/>
      <c r="G23" s="3"/>
      <c r="H23" s="3"/>
    </row>
  </sheetData>
  <mergeCells count="4">
    <mergeCell ref="A1:H1"/>
    <mergeCell ref="A2:H2"/>
    <mergeCell ref="D4:H4"/>
    <mergeCell ref="D5:H5"/>
  </mergeCells>
  <conditionalFormatting sqref="B4">
    <cfRule type="cellIs" dxfId="0" priority="1" operator="equal">
      <formula>"值得去"</formula>
    </cfRule>
    <cfRule type="cellIs" dxfId="1" priority="2" operator="equal">
      <formula>"不值得去"</formula>
    </cfRule>
  </conditionalFormatting>
  <conditionalFormatting sqref="D13:D22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{9c3b3c2d-ae75-4805-a81a-be8e8f99e048}</x14:id>
        </ext>
      </extLst>
    </cfRule>
  </conditionalFormatting>
  <dataValidations count="2">
    <dataValidation type="list" sqref="B8">
      <formula1>"否,是"</formula1>
    </dataValidation>
    <dataValidation type="whole" operator="between" sqref="C13:C22">
      <formula1>1</formula1>
      <formula2>5</formula2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3b3c2d-ae75-4805-a81a-be8e8f99e04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D13:D22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飞光飞光</cp:lastModifiedBy>
  <dcterms:created xsi:type="dcterms:W3CDTF">2026-09-22T08:44:16Z</dcterms:created>
  <dcterms:modified xsi:type="dcterms:W3CDTF">2026-09-22T10:02:27Z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10C9821B0F24BA35B3E1B16A72B70CC4_42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