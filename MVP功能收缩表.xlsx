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340"/>
  </bookViews>
  <sheets>
    <sheet name="MVP范围" sheetId="1" r:id="rId1"/>
    <sheet name="评分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<sst xmlns="http://schemas.openxmlformats.org/spreadsheetml/2006/main" count="126" uniqueCount="91">
  <si>
    <t>黑客松 MVP 功能范围表</t>
  </si>
  <si>
    <t>先定义一条核心用户路径，再填写候选功能。表格将功能价值与人时预算结合，帮助确定真实实现、简化、模拟、延后或删除。</t>
  </si>
  <si>
    <t>产品与容量输入</t>
  </si>
  <si>
    <t>数值</t>
  </si>
  <si>
    <t>范围控制规则</t>
  </si>
  <si>
    <t/>
  </si>
  <si>
    <t>范围摘要</t>
  </si>
  <si>
    <t>项目/产品名称</t>
  </si>
  <si>
    <t>1. 先锁定一个用户、一个场景、一个核心结果。</t>
  </si>
  <si>
    <t>已列功能数</t>
  </si>
  <si>
    <t>目标用户</t>
  </si>
  <si>
    <t>2. 核心路径功能不能只因分数低而删除，应优先简化或模拟。</t>
  </si>
  <si>
    <t>已确认调整后人时</t>
  </si>
  <si>
    <t>核心使用场景</t>
  </si>
  <si>
    <t>3. 非核心功能只有在高价值、低风险、且预算允许时才保留。</t>
  </si>
  <si>
    <t>范围状态</t>
  </si>
  <si>
    <t>评委应看到的关键效果</t>
  </si>
  <si>
    <t>4. 功能估时总和必须不超过可用于功能实现的预算。</t>
  </si>
  <si>
    <t>核心路径已保留数</t>
  </si>
  <si>
    <t>队员人数</t>
  </si>
  <si>
    <t>5. 选择“模拟效果”时，必须能稳定展示预期结果。</t>
  </si>
  <si>
    <t>黑客松时长（墙钟小时）</t>
  </si>
  <si>
    <t>评分说明见“评分说明”工作表。</t>
  </si>
  <si>
    <t>Demo开发时间比例</t>
  </si>
  <si>
    <t>开发中预留集成/调试比例</t>
  </si>
  <si>
    <t>总可用人时</t>
  </si>
  <si>
    <t>Demo开发总预算（人时）</t>
  </si>
  <si>
    <t>可用于功能实现的预算（人时）</t>
  </si>
  <si>
    <t>功能</t>
  </si>
  <si>
    <t>用户动作/获得的结果</t>
  </si>
  <si>
    <t>核心路径？</t>
  </si>
  <si>
    <t>核心路径必要性
30</t>
  </si>
  <si>
    <t>Demo/路演价值
20</t>
  </si>
  <si>
    <t>赛题/评审匹配
15</t>
  </si>
  <si>
    <t>差异化价值
10</t>
  </si>
  <si>
    <t>实现可行性
15</t>
  </si>
  <si>
    <t>低风险/低依赖
10</t>
  </si>
  <si>
    <t>功能总分
100</t>
  </si>
  <si>
    <t>预估完整人时</t>
  </si>
  <si>
    <t>依赖/风险</t>
  </si>
  <si>
    <t>自动建议</t>
  </si>
  <si>
    <t>最终范围决定</t>
  </si>
  <si>
    <t>调整后人时</t>
  </si>
  <si>
    <t>证据/备注</t>
  </si>
  <si>
    <t>决策顺序：先确认核心路径，再确认总人时预算，最后决定每项功能的实现等级。高分功能若预算不足可延后；低分核心功能应优先简化或模拟。</t>
  </si>
  <si>
    <t>MVP 功能评分说明</t>
  </si>
  <si>
    <t>每项按 1–5 分填写。只根据可观察事实判断，不确定信息请写在备注中，避免将未知直接当低分。</t>
  </si>
  <si>
    <t>评估维度</t>
  </si>
  <si>
    <t>权重</t>
  </si>
  <si>
    <t>评分问题</t>
  </si>
  <si>
    <t>1分 / 5分锚点</t>
  </si>
  <si>
    <t>核心路径必要性</t>
  </si>
  <si>
    <t>去掉它后，用户还能完成核心任务吗？</t>
  </si>
  <si>
    <t>1分：不影响核心路径；5分：缺少它就无法形成完整用户闭环</t>
  </si>
  <si>
    <t>Demo/路演价值</t>
  </si>
  <si>
    <t>它是否能帮助评委快速理解产品价值？</t>
  </si>
  <si>
    <t>1分：展示作用很弱；5分：直接呈现项目的关键效果</t>
  </si>
  <si>
    <t>赛题/评审匹配</t>
  </si>
  <si>
    <t>它是否直接回应赛题或评审重点？</t>
  </si>
  <si>
    <t>1分：关系很弱；5分：直接证明项目符合赛题与评审逻辑</t>
  </si>
  <si>
    <t>差异化价值</t>
  </si>
  <si>
    <t>它是否体现方案独特性？</t>
  </si>
  <si>
    <t>1分：常规且可替代；5分：明显体现独特解决思路</t>
  </si>
  <si>
    <t>实现可行性</t>
  </si>
  <si>
    <t>能否用现有时间、技术、数据和API稳定完成？</t>
  </si>
  <si>
    <t>1分：短期难以实现；5分：实现路径清晰且可控</t>
  </si>
  <si>
    <t>低风险/低依赖</t>
  </si>
  <si>
    <t>外部依赖、数据、API和协作风险是否可控？</t>
  </si>
  <si>
    <t>1分：高风险或依赖未知；5分：依赖少、稳定且已有替代方案</t>
  </si>
  <si>
    <t>适用场景</t>
  </si>
  <si>
    <t>说明</t>
  </si>
  <si>
    <t>真实实现</t>
  </si>
  <si>
    <t>完整人时 × 100%</t>
  </si>
  <si>
    <t>核心功能且可稳定完成</t>
  </si>
  <si>
    <t>按完整方案开发</t>
  </si>
  <si>
    <t>简化实现</t>
  </si>
  <si>
    <t>完整人时 × 60%</t>
  </si>
  <si>
    <t>核心价值必须保留，但完整功能过重</t>
  </si>
  <si>
    <t>删掉边缘流程、复杂配置和非必要状态</t>
  </si>
  <si>
    <t>模拟效果</t>
  </si>
  <si>
    <t>完整人时 × 25%</t>
  </si>
  <si>
    <t>评委需要看到结果，但完整后台或实时能力不必要</t>
  </si>
  <si>
    <t>使用预置数据、固定案例或可控演示路径</t>
  </si>
  <si>
    <t>延后</t>
  </si>
  <si>
    <t>0</t>
  </si>
  <si>
    <t>有价值但不服务本次核心展示</t>
  </si>
  <si>
    <t>放入后续版本，不进入本次Demo</t>
  </si>
  <si>
    <t>删除</t>
  </si>
  <si>
    <t>不服务核心用户、核心场景或评审重点</t>
  </si>
  <si>
    <t>从本次范围移除</t>
  </si>
  <si>
    <t>范围通过条件：至少保留一条完整核心用户路径，并且所有已确认功能的调整后人时合计不超过主表中的功能实现预算。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</si>
</sst>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7">
    <font>
      <sz val="11"/>
      <name val="Carlito"/>
      <charset val="134"/>
    </font>
    <font>
      <b/>
      <sz val="16"/>
      <color rgb="FFFFFFFF"/>
      <name val="Aptos"/>
      <charset val="134"/>
    </font>
    <font>
      <i/>
      <sz val="10"/>
      <name val="Aptos"/>
      <charset val="134"/>
    </font>
    <font>
      <sz val="10"/>
      <name val="Aptos"/>
      <charset val="134"/>
    </font>
    <font>
      <b/>
      <sz val="10"/>
      <color rgb="FFFFFFFF"/>
      <name val="Aptos"/>
      <charset val="134"/>
    </font>
    <font>
      <i/>
      <sz val="10"/>
      <color rgb="FF7F6000"/>
      <name val="Aptos"/>
      <charset val="134"/>
    </font>
    <font>
      <b/>
      <sz val="10"/>
      <color rgb="FF1F4E78"/>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70AD47"/>
        <bgColor indexed="64"/>
      </patternFill>
    </fill>
    <fill>
      <patternFill patternType="solid">
        <fgColor rgb="FFE2F0D9"/>
        <bgColor indexed="64"/>
      </patternFill>
    </fill>
    <fill>
      <patternFill patternType="solid">
        <fgColor rgb="FFEAF2F8"/>
        <bgColor indexed="64"/>
      </patternFill>
    </fill>
    <fill>
      <patternFill patternType="solid">
        <fgColor rgb="FFFFF2CC"/>
        <bgColor indexed="64"/>
      </patternFill>
    </fill>
    <fill>
      <patternFill patternType="solid">
        <fgColor rgb="FF1F4E78"/>
        <bgColor indexed="64"/>
      </patternFill>
    </fill>
    <fill>
      <patternFill patternType="solid">
        <fgColor rgb="FFD9EAF7"/>
        <bgColor indexed="64"/>
      </patternFill>
    </fill>
    <fill>
      <patternFill patternType="solid">
        <fgColor rgb="FFF7F9FB"/>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B7C9D6"/>
      </left>
      <right style="thin">
        <color rgb="FFB7C9D6"/>
      </right>
      <top style="thin">
        <color rgb="FFB7C9D6"/>
      </top>
      <bottom style="thin">
        <color rgb="FFB7C9D6"/>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11" borderId="8" applyNumberFormat="0" applyAlignment="0" applyProtection="0">
      <alignment vertical="center"/>
    </xf>
    <xf numFmtId="0" fontId="17" fillId="12" borderId="9" applyNumberFormat="0" applyAlignment="0" applyProtection="0">
      <alignment vertical="center"/>
    </xf>
    <xf numFmtId="0" fontId="18" fillId="12" borderId="8" applyNumberFormat="0" applyAlignment="0" applyProtection="0">
      <alignment vertical="center"/>
    </xf>
    <xf numFmtId="0" fontId="19" fillId="13"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xf numFmtId="0" fontId="0" fillId="0" borderId="0"/>
  </cellStyleXfs>
  <cellXfs count="27">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vertical="center" wrapText="1"/>
    </xf>
    <xf numFmtId="0" fontId="3" fillId="0" borderId="0" xfId="49" applyNumberFormat="1" applyFont="1" applyFill="1" applyBorder="1"/>
    <xf numFmtId="0" fontId="4" fillId="2" borderId="1" xfId="49" applyNumberFormat="1" applyFont="1" applyFill="1" applyBorder="1" applyAlignment="1">
      <alignment horizontal="center" wrapText="1"/>
    </xf>
    <xf numFmtId="0" fontId="3" fillId="0" borderId="2" xfId="49" applyNumberFormat="1" applyFont="1" applyFill="1" applyBorder="1" applyAlignment="1">
      <alignment vertical="center" wrapText="1"/>
    </xf>
    <xf numFmtId="0" fontId="3" fillId="4" borderId="2" xfId="49" applyNumberFormat="1" applyFont="1" applyFill="1" applyBorder="1" applyAlignment="1">
      <alignment horizontal="center" vertical="center" wrapText="1"/>
    </xf>
    <xf numFmtId="0" fontId="5" fillId="5" borderId="0" xfId="49" applyNumberFormat="1" applyFont="1" applyFill="1" applyBorder="1" applyAlignment="1">
      <alignment vertical="center" wrapText="1"/>
    </xf>
    <xf numFmtId="0" fontId="1" fillId="6" borderId="0" xfId="49" applyNumberFormat="1" applyFont="1" applyFill="1" applyBorder="1" applyAlignment="1">
      <alignment horizontal="center" vertical="center"/>
    </xf>
    <xf numFmtId="0" fontId="2" fillId="7" borderId="0" xfId="49" applyNumberFormat="1" applyFont="1" applyFill="1" applyBorder="1" applyAlignment="1">
      <alignment vertical="center" wrapText="1"/>
    </xf>
    <xf numFmtId="0" fontId="4" fillId="6" borderId="1" xfId="49" applyNumberFormat="1" applyFont="1" applyFill="1" applyBorder="1" applyAlignment="1">
      <alignment horizontal="center"/>
    </xf>
    <xf numFmtId="0" fontId="6" fillId="7" borderId="3" xfId="49" applyNumberFormat="1" applyFont="1" applyFill="1" applyBorder="1"/>
    <xf numFmtId="0" fontId="6" fillId="4" borderId="3" xfId="49" applyNumberFormat="1" applyFont="1" applyFill="1" applyBorder="1" applyAlignment="1">
      <alignment wrapText="1"/>
    </xf>
    <xf numFmtId="0" fontId="3" fillId="5" borderId="3" xfId="49" applyNumberFormat="1" applyFont="1" applyFill="1" applyBorder="1" applyAlignment="1">
      <alignment horizontal="center" wrapText="1"/>
    </xf>
    <xf numFmtId="0" fontId="3" fillId="8" borderId="4" xfId="49" applyNumberFormat="1" applyFont="1" applyFill="1" applyBorder="1" applyAlignment="1">
      <alignment vertical="center" wrapText="1"/>
    </xf>
    <xf numFmtId="0" fontId="6" fillId="4" borderId="3" xfId="49" applyNumberFormat="1" applyFont="1" applyFill="1" applyBorder="1"/>
    <xf numFmtId="0" fontId="3" fillId="9" borderId="3" xfId="49" applyNumberFormat="1" applyFont="1" applyFill="1" applyBorder="1" applyAlignment="1">
      <alignment horizontal="center"/>
    </xf>
    <xf numFmtId="176" fontId="3" fillId="9" borderId="3" xfId="49" applyNumberFormat="1" applyFont="1" applyFill="1" applyBorder="1" applyAlignment="1">
      <alignment horizontal="center"/>
    </xf>
    <xf numFmtId="9" fontId="3" fillId="5" borderId="3" xfId="49" applyNumberFormat="1" applyFont="1" applyFill="1" applyBorder="1" applyAlignment="1">
      <alignment horizontal="center" wrapText="1"/>
    </xf>
    <xf numFmtId="176" fontId="3" fillId="5" borderId="3" xfId="49" applyNumberFormat="1" applyFont="1" applyFill="1" applyBorder="1" applyAlignment="1">
      <alignment horizontal="center" wrapText="1"/>
    </xf>
    <xf numFmtId="0" fontId="4" fillId="6" borderId="1" xfId="49" applyNumberFormat="1" applyFont="1" applyFill="1" applyBorder="1" applyAlignment="1">
      <alignment horizontal="center" vertical="center" wrapText="1"/>
    </xf>
    <xf numFmtId="0" fontId="3" fillId="5" borderId="2" xfId="49" applyNumberFormat="1" applyFont="1" applyFill="1" applyBorder="1" applyAlignment="1">
      <alignment horizontal="center" vertical="center" wrapText="1"/>
    </xf>
    <xf numFmtId="176" fontId="3" fillId="4" borderId="2" xfId="49" applyNumberFormat="1" applyFont="1" applyFill="1" applyBorder="1" applyAlignment="1">
      <alignment horizontal="center" vertical="center" wrapText="1"/>
    </xf>
    <xf numFmtId="176" fontId="3" fillId="5" borderId="2" xfId="49" applyNumberFormat="1" applyFont="1" applyFill="1" applyBorder="1" applyAlignment="1">
      <alignment horizontal="center" vertical="center" wrapText="1"/>
    </xf>
    <xf numFmtId="0" fontId="3" fillId="8" borderId="2" xfId="49" applyNumberFormat="1" applyFont="1" applyFill="1" applyBorder="1" applyAlignment="1">
      <alignment horizontal="center" vertical="center" wrapText="1"/>
    </xf>
    <xf numFmtId="0" fontId="3" fillId="3" borderId="2" xfId="49" applyNumberFormat="1" applyFont="1" applyFill="1" applyBorder="1" applyAlignment="1">
      <alignment horizontal="center" vertical="center" wrapText="1"/>
    </xf>
    <xf numFmtId="176" fontId="3" fillId="8" borderId="2"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006100"/>
      </font>
      <fill>
        <patternFill patternType="solid">
          <bgColor rgb="FFE2F0D9"/>
        </patternFill>
      </fill>
    </dxf>
    <dxf>
      <font>
        <b val="1"/>
        <color rgb="FF9C0006"/>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32"/>
  <sheetViews>
    <sheetView showGridLines="0" tabSelected="1" zoomScale="81" zoomScaleNormal="81" topLeftCell="B1" workbookViewId="0">
      <pane ySplit="17" topLeftCell="A18" activePane="bottomLeft" state="frozen"/>
      <selection/>
      <selection pane="bottomLeft" activeCell="A1" sqref="A1:P1"/>
    </sheetView>
  </sheetViews>
  <sheetFormatPr defaultColWidth="9" defaultRowHeight="16.8"/>
  <cols>
    <col min="1" max="1" width="18" customWidth="1"/>
    <col min="2" max="2" width="30" customWidth="1"/>
    <col min="3" max="3" width="10" customWidth="1"/>
    <col min="4" max="9" width="12" customWidth="1"/>
    <col min="10" max="10" width="11" customWidth="1"/>
    <col min="11" max="11" width="12" customWidth="1"/>
    <col min="12" max="12" width="23" customWidth="1"/>
    <col min="13" max="13" width="17" customWidth="1"/>
    <col min="14" max="14" width="13" customWidth="1"/>
    <col min="15" max="15" width="12" customWidth="1"/>
    <col min="16" max="16" width="26" customWidth="1"/>
  </cols>
  <sheetData>
    <row r="1" ht="30" customHeight="1" spans="1:16">
      <c r="A1" s="8" t="s">
        <v>0</v>
      </c>
      <c r="B1" s="8"/>
      <c r="C1" s="8"/>
      <c r="D1" s="8"/>
      <c r="E1" s="8"/>
      <c r="F1" s="8"/>
      <c r="G1" s="8"/>
      <c r="H1" s="8"/>
      <c r="I1" s="8"/>
      <c r="J1" s="8"/>
      <c r="K1" s="8"/>
      <c r="L1" s="8"/>
      <c r="M1" s="8"/>
      <c r="N1" s="8"/>
      <c r="O1" s="8"/>
      <c r="P1" s="8"/>
    </row>
    <row r="2" ht="32" customHeight="1" spans="1:16">
      <c r="A2" s="9" t="s">
        <v>1</v>
      </c>
      <c r="B2" s="9"/>
      <c r="C2" s="9"/>
      <c r="D2" s="9"/>
      <c r="E2" s="9"/>
      <c r="F2" s="9"/>
      <c r="G2" s="9"/>
      <c r="H2" s="9"/>
      <c r="I2" s="9"/>
      <c r="J2" s="9"/>
      <c r="K2" s="9"/>
      <c r="L2" s="9"/>
      <c r="M2" s="9"/>
      <c r="N2" s="9"/>
      <c r="O2" s="9"/>
      <c r="P2" s="9"/>
    </row>
    <row r="3" spans="1:16">
      <c r="A3" s="3"/>
      <c r="B3" s="3"/>
      <c r="C3" s="3"/>
      <c r="D3" s="3"/>
      <c r="E3" s="3"/>
      <c r="F3" s="3"/>
      <c r="G3" s="3"/>
      <c r="H3" s="3"/>
      <c r="I3" s="3"/>
      <c r="J3" s="3"/>
      <c r="K3" s="3"/>
      <c r="L3" s="3"/>
      <c r="M3" s="3"/>
      <c r="N3" s="3"/>
      <c r="O3" s="3"/>
      <c r="P3" s="3"/>
    </row>
    <row r="4" spans="1:16">
      <c r="A4" s="10" t="s">
        <v>2</v>
      </c>
      <c r="B4" s="10" t="s">
        <v>3</v>
      </c>
      <c r="C4" s="3"/>
      <c r="D4" s="11" t="s">
        <v>4</v>
      </c>
      <c r="E4" s="11" t="s">
        <v>5</v>
      </c>
      <c r="F4" s="11" t="s">
        <v>5</v>
      </c>
      <c r="G4" s="11" t="s">
        <v>5</v>
      </c>
      <c r="H4" s="11" t="s">
        <v>5</v>
      </c>
      <c r="I4" s="3"/>
      <c r="J4" s="10" t="s">
        <v>6</v>
      </c>
      <c r="K4" s="10" t="s">
        <v>3</v>
      </c>
      <c r="L4" s="3"/>
      <c r="M4" s="3"/>
      <c r="N4" s="3"/>
      <c r="O4" s="3"/>
      <c r="P4" s="3"/>
    </row>
    <row r="5" spans="1:16">
      <c r="A5" s="12" t="s">
        <v>7</v>
      </c>
      <c r="B5" s="13" t="s">
        <v>5</v>
      </c>
      <c r="C5" s="3"/>
      <c r="D5" s="14" t="s">
        <v>8</v>
      </c>
      <c r="E5" s="14" t="s">
        <v>5</v>
      </c>
      <c r="F5" s="14" t="s">
        <v>5</v>
      </c>
      <c r="G5" s="14" t="s">
        <v>5</v>
      </c>
      <c r="H5" s="14" t="s">
        <v>5</v>
      </c>
      <c r="I5" s="3"/>
      <c r="J5" s="15" t="s">
        <v>9</v>
      </c>
      <c r="K5" s="16">
        <f>COUNTA(A19:A30)</f>
        <v>0</v>
      </c>
      <c r="L5" s="3"/>
      <c r="M5" s="3"/>
      <c r="N5" s="3"/>
      <c r="O5" s="3"/>
      <c r="P5" s="3"/>
    </row>
    <row r="6" spans="1:16">
      <c r="A6" s="12" t="s">
        <v>10</v>
      </c>
      <c r="B6" s="13" t="s">
        <v>5</v>
      </c>
      <c r="C6" s="3"/>
      <c r="D6" s="14" t="s">
        <v>11</v>
      </c>
      <c r="E6" s="14" t="s">
        <v>5</v>
      </c>
      <c r="F6" s="14" t="s">
        <v>5</v>
      </c>
      <c r="G6" s="14" t="s">
        <v>5</v>
      </c>
      <c r="H6" s="14" t="s">
        <v>5</v>
      </c>
      <c r="I6" s="3"/>
      <c r="J6" s="15" t="s">
        <v>12</v>
      </c>
      <c r="K6" s="17">
        <f>SUM(O19:O30)</f>
        <v>0</v>
      </c>
      <c r="L6" s="3"/>
      <c r="M6" s="3"/>
      <c r="N6" s="3"/>
      <c r="O6" s="3"/>
      <c r="P6" s="3"/>
    </row>
    <row r="7" spans="1:16">
      <c r="A7" s="12" t="s">
        <v>13</v>
      </c>
      <c r="B7" s="13" t="s">
        <v>5</v>
      </c>
      <c r="C7" s="3"/>
      <c r="D7" s="14" t="s">
        <v>14</v>
      </c>
      <c r="E7" s="14" t="s">
        <v>5</v>
      </c>
      <c r="F7" s="14" t="s">
        <v>5</v>
      </c>
      <c r="G7" s="14" t="s">
        <v>5</v>
      </c>
      <c r="H7" s="14" t="s">
        <v>5</v>
      </c>
      <c r="I7" s="3"/>
      <c r="J7" s="15" t="s">
        <v>15</v>
      </c>
      <c r="K7" s="16" t="str">
        <f>IF(K5=0,"待添加功能",IF(COUNTA(N19:N30)&lt;K5,"待确认范围",IF(K6&lt;=$B$15,"范围可执行","超出功能预算")))</f>
        <v>待添加功能</v>
      </c>
      <c r="L7" s="3"/>
      <c r="M7" s="3"/>
      <c r="N7" s="3"/>
      <c r="O7" s="3"/>
      <c r="P7" s="3"/>
    </row>
    <row r="8" spans="1:16">
      <c r="A8" s="12" t="s">
        <v>16</v>
      </c>
      <c r="B8" s="13" t="s">
        <v>5</v>
      </c>
      <c r="C8" s="3"/>
      <c r="D8" s="14" t="s">
        <v>17</v>
      </c>
      <c r="E8" s="14" t="s">
        <v>5</v>
      </c>
      <c r="F8" s="14" t="s">
        <v>5</v>
      </c>
      <c r="G8" s="14" t="s">
        <v>5</v>
      </c>
      <c r="H8" s="14" t="s">
        <v>5</v>
      </c>
      <c r="I8" s="3"/>
      <c r="J8" s="15" t="s">
        <v>18</v>
      </c>
      <c r="K8" s="16">
        <f>COUNTIFS(C19:C30,"是",N19:N30,"真实实现")+COUNTIFS(C19:C30,"是",N19:N30,"简化实现")+COUNTIFS(C19:C30,"是",N19:N30,"模拟效果")</f>
        <v>0</v>
      </c>
      <c r="L8" s="3"/>
      <c r="M8" s="3"/>
      <c r="N8" s="3"/>
      <c r="O8" s="3"/>
      <c r="P8" s="3"/>
    </row>
    <row r="9" spans="1:16">
      <c r="A9" s="12" t="s">
        <v>19</v>
      </c>
      <c r="B9" s="13">
        <v>3</v>
      </c>
      <c r="C9" s="3"/>
      <c r="D9" s="14" t="s">
        <v>20</v>
      </c>
      <c r="E9" s="14" t="s">
        <v>5</v>
      </c>
      <c r="F9" s="14" t="s">
        <v>5</v>
      </c>
      <c r="G9" s="14" t="s">
        <v>5</v>
      </c>
      <c r="H9" s="14" t="s">
        <v>5</v>
      </c>
      <c r="I9" s="3"/>
      <c r="J9" s="3"/>
      <c r="K9" s="3"/>
      <c r="L9" s="3"/>
      <c r="M9" s="3"/>
      <c r="N9" s="3"/>
      <c r="O9" s="3"/>
      <c r="P9" s="3"/>
    </row>
    <row r="10" spans="1:16">
      <c r="A10" s="12" t="s">
        <v>21</v>
      </c>
      <c r="B10" s="13">
        <v>24</v>
      </c>
      <c r="C10" s="3"/>
      <c r="D10" s="14" t="s">
        <v>22</v>
      </c>
      <c r="E10" s="14" t="s">
        <v>5</v>
      </c>
      <c r="F10" s="14" t="s">
        <v>5</v>
      </c>
      <c r="G10" s="14" t="s">
        <v>5</v>
      </c>
      <c r="H10" s="14" t="s">
        <v>5</v>
      </c>
      <c r="I10" s="3"/>
      <c r="J10" s="3"/>
      <c r="K10" s="3"/>
      <c r="L10" s="3"/>
      <c r="M10" s="3"/>
      <c r="N10" s="3"/>
      <c r="O10" s="3"/>
      <c r="P10" s="3"/>
    </row>
    <row r="11" spans="1:16">
      <c r="A11" s="12" t="s">
        <v>23</v>
      </c>
      <c r="B11" s="18">
        <v>0.35</v>
      </c>
      <c r="C11" s="3"/>
      <c r="D11" s="3"/>
      <c r="E11" s="3"/>
      <c r="F11" s="3"/>
      <c r="G11" s="3"/>
      <c r="H11" s="3"/>
      <c r="I11" s="3"/>
      <c r="J11" s="3"/>
      <c r="K11" s="3"/>
      <c r="L11" s="3"/>
      <c r="M11" s="3"/>
      <c r="N11" s="3"/>
      <c r="O11" s="3"/>
      <c r="P11" s="3"/>
    </row>
    <row r="12" spans="1:16">
      <c r="A12" s="12" t="s">
        <v>24</v>
      </c>
      <c r="B12" s="18">
        <v>0.2</v>
      </c>
      <c r="C12" s="3"/>
      <c r="D12" s="3"/>
      <c r="E12" s="3"/>
      <c r="F12" s="3"/>
      <c r="G12" s="3"/>
      <c r="H12" s="3"/>
      <c r="I12" s="3"/>
      <c r="J12" s="3"/>
      <c r="K12" s="3"/>
      <c r="L12" s="3"/>
      <c r="M12" s="3"/>
      <c r="N12" s="3"/>
      <c r="O12" s="3"/>
      <c r="P12" s="3"/>
    </row>
    <row r="13" spans="1:16">
      <c r="A13" s="12" t="s">
        <v>25</v>
      </c>
      <c r="B13" s="19">
        <f>B9*B10</f>
        <v>72</v>
      </c>
      <c r="C13" s="3"/>
      <c r="D13" s="3"/>
      <c r="E13" s="3"/>
      <c r="F13" s="3"/>
      <c r="G13" s="3"/>
      <c r="H13" s="3"/>
      <c r="I13" s="3"/>
      <c r="J13" s="3"/>
      <c r="K13" s="3"/>
      <c r="L13" s="3"/>
      <c r="M13" s="3"/>
      <c r="N13" s="3"/>
      <c r="O13" s="3"/>
      <c r="P13" s="3"/>
    </row>
    <row r="14" spans="1:16">
      <c r="A14" s="12" t="s">
        <v>26</v>
      </c>
      <c r="B14" s="19">
        <f>B13*B11</f>
        <v>25.2</v>
      </c>
      <c r="C14" s="3"/>
      <c r="D14" s="3"/>
      <c r="E14" s="3"/>
      <c r="F14" s="3"/>
      <c r="G14" s="3"/>
      <c r="H14" s="3"/>
      <c r="I14" s="3"/>
      <c r="J14" s="3"/>
      <c r="K14" s="3"/>
      <c r="L14" s="3"/>
      <c r="M14" s="3"/>
      <c r="N14" s="3"/>
      <c r="O14" s="3"/>
      <c r="P14" s="3"/>
    </row>
    <row r="15" ht="31" spans="1:16">
      <c r="A15" s="12" t="s">
        <v>27</v>
      </c>
      <c r="B15" s="19">
        <f>B14*(1-B12)</f>
        <v>20.16</v>
      </c>
      <c r="C15" s="3"/>
      <c r="D15" s="3"/>
      <c r="E15" s="3"/>
      <c r="F15" s="3"/>
      <c r="G15" s="3"/>
      <c r="H15" s="3"/>
      <c r="I15" s="3"/>
      <c r="J15" s="3"/>
      <c r="K15" s="3"/>
      <c r="L15" s="3"/>
      <c r="M15" s="3"/>
      <c r="N15" s="3"/>
      <c r="O15" s="3"/>
      <c r="P15" s="3"/>
    </row>
    <row r="16" spans="1:16">
      <c r="A16" s="3"/>
      <c r="B16" s="3"/>
      <c r="C16" s="3"/>
      <c r="D16" s="3"/>
      <c r="E16" s="3"/>
      <c r="F16" s="3"/>
      <c r="G16" s="3"/>
      <c r="H16" s="3"/>
      <c r="I16" s="3"/>
      <c r="J16" s="3"/>
      <c r="K16" s="3"/>
      <c r="L16" s="3"/>
      <c r="M16" s="3"/>
      <c r="N16" s="3"/>
      <c r="O16" s="3"/>
      <c r="P16" s="3"/>
    </row>
    <row r="17" ht="42" customHeight="1" spans="1:16">
      <c r="A17" s="20" t="s">
        <v>28</v>
      </c>
      <c r="B17" s="20" t="s">
        <v>29</v>
      </c>
      <c r="C17" s="20" t="s">
        <v>30</v>
      </c>
      <c r="D17" s="20" t="s">
        <v>31</v>
      </c>
      <c r="E17" s="20" t="s">
        <v>32</v>
      </c>
      <c r="F17" s="20" t="s">
        <v>33</v>
      </c>
      <c r="G17" s="20" t="s">
        <v>34</v>
      </c>
      <c r="H17" s="20" t="s">
        <v>35</v>
      </c>
      <c r="I17" s="20" t="s">
        <v>36</v>
      </c>
      <c r="J17" s="20" t="s">
        <v>37</v>
      </c>
      <c r="K17" s="20" t="s">
        <v>38</v>
      </c>
      <c r="L17" s="20" t="s">
        <v>39</v>
      </c>
      <c r="M17" s="20" t="s">
        <v>40</v>
      </c>
      <c r="N17" s="20" t="s">
        <v>41</v>
      </c>
      <c r="O17" s="20" t="s">
        <v>42</v>
      </c>
      <c r="P17" s="20" t="s">
        <v>43</v>
      </c>
    </row>
    <row r="18" spans="1:16">
      <c r="A18" s="3"/>
      <c r="B18" s="3"/>
      <c r="C18" s="3"/>
      <c r="D18" s="3"/>
      <c r="E18" s="3"/>
      <c r="F18" s="3"/>
      <c r="G18" s="3"/>
      <c r="H18" s="3"/>
      <c r="I18" s="3"/>
      <c r="J18" s="3"/>
      <c r="K18" s="3"/>
      <c r="L18" s="3"/>
      <c r="M18" s="3"/>
      <c r="N18" s="3"/>
      <c r="O18" s="3"/>
      <c r="P18" s="3"/>
    </row>
    <row r="19" ht="42" customHeight="1" spans="1:16">
      <c r="A19" s="5"/>
      <c r="B19" s="5"/>
      <c r="C19" s="21"/>
      <c r="D19" s="21"/>
      <c r="E19" s="21"/>
      <c r="F19" s="21"/>
      <c r="G19" s="21"/>
      <c r="H19" s="21"/>
      <c r="I19" s="21"/>
      <c r="J19" s="22" t="str">
        <f t="shared" ref="J19:J30" si="0">IF(COUNTA(D19:I19)&lt;6,"",D19/5*30+E19/5*20+F19/5*15+G19/5*10+H19/5*15+I19/5*10)</f>
        <v/>
      </c>
      <c r="K19" s="23"/>
      <c r="L19" s="5"/>
      <c r="M19" s="24" t="str">
        <f t="shared" ref="M19:M30" si="1">IF(A19="","",IF(COUNTA(D19:I19)&lt;6,"待评分",IF(C19="是",IF(AND(H19&gt;=3,I19&gt;=3),"保留：真实或简化","保留：模拟或重构"),IF(AND(J19&gt;=70,H19&gt;=4,I19&gt;=4),"候选保留",IF(J19&gt;=50,"延后或模拟","删除")))))</f>
        <v/>
      </c>
      <c r="N19" s="25"/>
      <c r="O19" s="26">
        <f t="shared" ref="O19:O30" si="2">IF(N19="真实实现",K19,IF(N19="简化实现",K19*0.6,IF(N19="模拟效果",K19*0.25,0)))</f>
        <v>0</v>
      </c>
      <c r="P19" s="5"/>
    </row>
    <row r="20" ht="42" customHeight="1" spans="1:16">
      <c r="A20" s="5"/>
      <c r="B20" s="5"/>
      <c r="C20" s="21"/>
      <c r="D20" s="21"/>
      <c r="E20" s="21"/>
      <c r="F20" s="21"/>
      <c r="G20" s="21"/>
      <c r="H20" s="21"/>
      <c r="I20" s="21"/>
      <c r="J20" s="22" t="str">
        <f t="shared" si="0"/>
        <v/>
      </c>
      <c r="K20" s="23"/>
      <c r="L20" s="5"/>
      <c r="M20" s="24" t="str">
        <f t="shared" si="1"/>
        <v/>
      </c>
      <c r="N20" s="25"/>
      <c r="O20" s="26">
        <f t="shared" si="2"/>
        <v>0</v>
      </c>
      <c r="P20" s="5"/>
    </row>
    <row r="21" ht="42" customHeight="1" spans="1:16">
      <c r="A21" s="5"/>
      <c r="B21" s="5"/>
      <c r="C21" s="21"/>
      <c r="D21" s="21"/>
      <c r="E21" s="21"/>
      <c r="F21" s="21"/>
      <c r="G21" s="21"/>
      <c r="H21" s="21"/>
      <c r="I21" s="21"/>
      <c r="J21" s="22" t="str">
        <f t="shared" si="0"/>
        <v/>
      </c>
      <c r="K21" s="23"/>
      <c r="L21" s="5"/>
      <c r="M21" s="24" t="str">
        <f t="shared" si="1"/>
        <v/>
      </c>
      <c r="N21" s="25"/>
      <c r="O21" s="26">
        <f t="shared" si="2"/>
        <v>0</v>
      </c>
      <c r="P21" s="5"/>
    </row>
    <row r="22" ht="42" customHeight="1" spans="1:16">
      <c r="A22" s="5"/>
      <c r="B22" s="5"/>
      <c r="C22" s="21"/>
      <c r="D22" s="21"/>
      <c r="E22" s="21"/>
      <c r="F22" s="21"/>
      <c r="G22" s="21"/>
      <c r="H22" s="21"/>
      <c r="I22" s="21"/>
      <c r="J22" s="22" t="str">
        <f t="shared" si="0"/>
        <v/>
      </c>
      <c r="K22" s="23"/>
      <c r="L22" s="5"/>
      <c r="M22" s="24" t="str">
        <f t="shared" si="1"/>
        <v/>
      </c>
      <c r="N22" s="25"/>
      <c r="O22" s="26">
        <f t="shared" si="2"/>
        <v>0</v>
      </c>
      <c r="P22" s="5"/>
    </row>
    <row r="23" ht="42" customHeight="1" spans="1:16">
      <c r="A23" s="5"/>
      <c r="B23" s="5"/>
      <c r="C23" s="21"/>
      <c r="D23" s="21"/>
      <c r="E23" s="21"/>
      <c r="F23" s="21"/>
      <c r="G23" s="21"/>
      <c r="H23" s="21"/>
      <c r="I23" s="21"/>
      <c r="J23" s="22" t="str">
        <f t="shared" si="0"/>
        <v/>
      </c>
      <c r="K23" s="23"/>
      <c r="L23" s="5"/>
      <c r="M23" s="24" t="str">
        <f t="shared" si="1"/>
        <v/>
      </c>
      <c r="N23" s="25"/>
      <c r="O23" s="26">
        <f t="shared" si="2"/>
        <v>0</v>
      </c>
      <c r="P23" s="5"/>
    </row>
    <row r="24" ht="42" customHeight="1" spans="1:16">
      <c r="A24" s="5"/>
      <c r="B24" s="5"/>
      <c r="C24" s="21"/>
      <c r="D24" s="21"/>
      <c r="E24" s="21"/>
      <c r="F24" s="21"/>
      <c r="G24" s="21"/>
      <c r="H24" s="21"/>
      <c r="I24" s="21"/>
      <c r="J24" s="22" t="str">
        <f t="shared" si="0"/>
        <v/>
      </c>
      <c r="K24" s="23"/>
      <c r="L24" s="5"/>
      <c r="M24" s="24" t="str">
        <f t="shared" si="1"/>
        <v/>
      </c>
      <c r="N24" s="25"/>
      <c r="O24" s="26">
        <f t="shared" si="2"/>
        <v>0</v>
      </c>
      <c r="P24" s="5"/>
    </row>
    <row r="25" ht="42" customHeight="1" spans="1:16">
      <c r="A25" s="5"/>
      <c r="B25" s="5"/>
      <c r="C25" s="21"/>
      <c r="D25" s="21"/>
      <c r="E25" s="21"/>
      <c r="F25" s="21"/>
      <c r="G25" s="21"/>
      <c r="H25" s="21"/>
      <c r="I25" s="21"/>
      <c r="J25" s="22" t="str">
        <f t="shared" si="0"/>
        <v/>
      </c>
      <c r="K25" s="23"/>
      <c r="L25" s="5"/>
      <c r="M25" s="24" t="str">
        <f t="shared" si="1"/>
        <v/>
      </c>
      <c r="N25" s="25"/>
      <c r="O25" s="26">
        <f t="shared" si="2"/>
        <v>0</v>
      </c>
      <c r="P25" s="5"/>
    </row>
    <row r="26" ht="42" customHeight="1" spans="1:16">
      <c r="A26" s="5"/>
      <c r="B26" s="5"/>
      <c r="C26" s="21"/>
      <c r="D26" s="21"/>
      <c r="E26" s="21"/>
      <c r="F26" s="21"/>
      <c r="G26" s="21"/>
      <c r="H26" s="21"/>
      <c r="I26" s="21"/>
      <c r="J26" s="22" t="str">
        <f t="shared" si="0"/>
        <v/>
      </c>
      <c r="K26" s="23"/>
      <c r="L26" s="5"/>
      <c r="M26" s="24" t="str">
        <f t="shared" si="1"/>
        <v/>
      </c>
      <c r="N26" s="25"/>
      <c r="O26" s="26">
        <f t="shared" si="2"/>
        <v>0</v>
      </c>
      <c r="P26" s="5"/>
    </row>
    <row r="27" ht="42" customHeight="1" spans="1:16">
      <c r="A27" s="5"/>
      <c r="B27" s="5"/>
      <c r="C27" s="21"/>
      <c r="D27" s="21"/>
      <c r="E27" s="21"/>
      <c r="F27" s="21"/>
      <c r="G27" s="21"/>
      <c r="H27" s="21"/>
      <c r="I27" s="21"/>
      <c r="J27" s="22" t="str">
        <f t="shared" si="0"/>
        <v/>
      </c>
      <c r="K27" s="23"/>
      <c r="L27" s="5"/>
      <c r="M27" s="24" t="str">
        <f t="shared" si="1"/>
        <v/>
      </c>
      <c r="N27" s="25"/>
      <c r="O27" s="26">
        <f t="shared" si="2"/>
        <v>0</v>
      </c>
      <c r="P27" s="5"/>
    </row>
    <row r="28" ht="42" customHeight="1" spans="1:16">
      <c r="A28" s="5"/>
      <c r="B28" s="5"/>
      <c r="C28" s="21"/>
      <c r="D28" s="21"/>
      <c r="E28" s="21"/>
      <c r="F28" s="21"/>
      <c r="G28" s="21"/>
      <c r="H28" s="21"/>
      <c r="I28" s="21"/>
      <c r="J28" s="22" t="str">
        <f t="shared" si="0"/>
        <v/>
      </c>
      <c r="K28" s="23"/>
      <c r="L28" s="5"/>
      <c r="M28" s="24" t="str">
        <f t="shared" si="1"/>
        <v/>
      </c>
      <c r="N28" s="25"/>
      <c r="O28" s="26">
        <f t="shared" si="2"/>
        <v>0</v>
      </c>
      <c r="P28" s="5"/>
    </row>
    <row r="29" ht="42" customHeight="1" spans="1:16">
      <c r="A29" s="5"/>
      <c r="B29" s="5"/>
      <c r="C29" s="21"/>
      <c r="D29" s="21"/>
      <c r="E29" s="21"/>
      <c r="F29" s="21"/>
      <c r="G29" s="21"/>
      <c r="H29" s="21"/>
      <c r="I29" s="21"/>
      <c r="J29" s="22" t="str">
        <f t="shared" si="0"/>
        <v/>
      </c>
      <c r="K29" s="23"/>
      <c r="L29" s="5"/>
      <c r="M29" s="24" t="str">
        <f t="shared" si="1"/>
        <v/>
      </c>
      <c r="N29" s="25"/>
      <c r="O29" s="26">
        <f t="shared" si="2"/>
        <v>0</v>
      </c>
      <c r="P29" s="5"/>
    </row>
    <row r="30" ht="42" customHeight="1" spans="1:16">
      <c r="A30" s="5"/>
      <c r="B30" s="5"/>
      <c r="C30" s="21"/>
      <c r="D30" s="21"/>
      <c r="E30" s="21"/>
      <c r="F30" s="21"/>
      <c r="G30" s="21"/>
      <c r="H30" s="21"/>
      <c r="I30" s="21"/>
      <c r="J30" s="22" t="str">
        <f t="shared" si="0"/>
        <v/>
      </c>
      <c r="K30" s="23"/>
      <c r="L30" s="5"/>
      <c r="M30" s="24" t="str">
        <f t="shared" si="1"/>
        <v/>
      </c>
      <c r="N30" s="25"/>
      <c r="O30" s="26">
        <f t="shared" si="2"/>
        <v>0</v>
      </c>
      <c r="P30" s="5"/>
    </row>
    <row r="31" spans="1:16">
      <c r="A31" s="3"/>
      <c r="B31" s="3"/>
      <c r="C31" s="3"/>
      <c r="D31" s="3"/>
      <c r="E31" s="3"/>
      <c r="F31" s="3"/>
      <c r="G31" s="3"/>
      <c r="H31" s="3"/>
      <c r="I31" s="3"/>
      <c r="J31" s="3"/>
      <c r="K31" s="3"/>
      <c r="L31" s="3"/>
      <c r="M31" s="3"/>
      <c r="N31" s="3"/>
      <c r="O31" s="3"/>
      <c r="P31" s="3"/>
    </row>
    <row r="32" ht="34" customHeight="1" spans="1:16">
      <c r="A32" s="7" t="s">
        <v>44</v>
      </c>
      <c r="B32" s="7"/>
      <c r="C32" s="7"/>
      <c r="D32" s="7"/>
      <c r="E32" s="7"/>
      <c r="F32" s="7"/>
      <c r="G32" s="7"/>
      <c r="H32" s="7"/>
      <c r="I32" s="7"/>
      <c r="J32" s="7"/>
      <c r="K32" s="7"/>
      <c r="L32" s="7"/>
      <c r="M32" s="7"/>
      <c r="N32" s="7"/>
      <c r="O32" s="7"/>
      <c r="P32" s="7"/>
    </row>
  </sheetData>
  <mergeCells count="10">
    <mergeCell ref="A1:P1"/>
    <mergeCell ref="A2:P2"/>
    <mergeCell ref="D4:H4"/>
    <mergeCell ref="D5:H5"/>
    <mergeCell ref="D6:H6"/>
    <mergeCell ref="D7:H7"/>
    <mergeCell ref="D8:H8"/>
    <mergeCell ref="D9:H9"/>
    <mergeCell ref="D10:H10"/>
    <mergeCell ref="A32:P32"/>
  </mergeCells>
  <conditionalFormatting sqref="K7">
    <cfRule type="containsText" dxfId="0" priority="1" operator="between" text="范围可执行">
      <formula>NOT(ISERROR(SEARCH("范围可执行",K7)))</formula>
    </cfRule>
    <cfRule type="containsText" dxfId="1" priority="2" operator="between" text="超出功能预算">
      <formula>NOT(ISERROR(SEARCH("超出功能预算",K7)))</formula>
    </cfRule>
  </conditionalFormatting>
  <conditionalFormatting sqref="M19:M30">
    <cfRule type="containsText" dxfId="1" priority="3" operator="between" text="删除">
      <formula>NOT(ISERROR(SEARCH("删除",M19)))</formula>
    </cfRule>
    <cfRule type="containsText" dxfId="0" priority="4" operator="between" text="候选保留">
      <formula>NOT(ISERROR(SEARCH("候选保留",M19)))</formula>
    </cfRule>
  </conditionalFormatting>
  <dataValidations count="6">
    <dataValidation type="whole" operator="between" sqref="B9">
      <formula1>1</formula1>
      <formula2>20</formula2>
    </dataValidation>
    <dataValidation type="decimal" operator="greaterThan" sqref="B10">
      <formula1>0</formula1>
    </dataValidation>
    <dataValidation type="decimal" operator="between" sqref="B11:B12">
      <formula1>0</formula1>
      <formula2>1</formula2>
    </dataValidation>
    <dataValidation type="list" sqref="C19:C30">
      <formula1>"是,否"</formula1>
    </dataValidation>
    <dataValidation type="list" sqref="N19:N30">
      <formula1>"真实实现,简化实现,模拟效果,延后,删除"</formula1>
    </dataValidation>
    <dataValidation type="whole" operator="between" sqref="D19:I30">
      <formula1>1</formula1>
      <formula2>5</formula2>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D19"/>
  <sheetViews>
    <sheetView showGridLines="0" workbookViewId="0">
      <selection activeCell="A1" sqref="A1:D1"/>
    </sheetView>
  </sheetViews>
  <sheetFormatPr defaultColWidth="9" defaultRowHeight="16.8" outlineLevelCol="3"/>
  <cols>
    <col min="1" max="1" width="20" customWidth="1"/>
    <col min="2" max="2" width="12" customWidth="1"/>
    <col min="3" max="3" width="32" customWidth="1"/>
    <col min="4" max="4" width="48" customWidth="1"/>
  </cols>
  <sheetData>
    <row r="1" ht="30" customHeight="1" spans="1:4">
      <c r="A1" s="1" t="s">
        <v>45</v>
      </c>
      <c r="B1" s="1"/>
      <c r="C1" s="1"/>
      <c r="D1" s="1"/>
    </row>
    <row r="2" ht="30" customHeight="1" spans="1:4">
      <c r="A2" s="2" t="s">
        <v>46</v>
      </c>
      <c r="B2" s="2"/>
      <c r="C2" s="2"/>
      <c r="D2" s="2"/>
    </row>
    <row r="3" spans="1:4">
      <c r="A3" s="3"/>
      <c r="B3" s="3"/>
      <c r="C3" s="3"/>
      <c r="D3" s="3"/>
    </row>
    <row r="4" spans="1:4">
      <c r="A4" s="4" t="s">
        <v>47</v>
      </c>
      <c r="B4" s="4" t="s">
        <v>48</v>
      </c>
      <c r="C4" s="4" t="s">
        <v>49</v>
      </c>
      <c r="D4" s="4" t="s">
        <v>50</v>
      </c>
    </row>
    <row r="5" ht="44" customHeight="1" spans="1:4">
      <c r="A5" s="5" t="s">
        <v>51</v>
      </c>
      <c r="B5" s="6">
        <v>30</v>
      </c>
      <c r="C5" s="5" t="s">
        <v>52</v>
      </c>
      <c r="D5" s="5" t="s">
        <v>53</v>
      </c>
    </row>
    <row r="6" ht="44" customHeight="1" spans="1:4">
      <c r="A6" s="5" t="s">
        <v>54</v>
      </c>
      <c r="B6" s="6">
        <v>20</v>
      </c>
      <c r="C6" s="5" t="s">
        <v>55</v>
      </c>
      <c r="D6" s="5" t="s">
        <v>56</v>
      </c>
    </row>
    <row r="7" ht="44" customHeight="1" spans="1:4">
      <c r="A7" s="5" t="s">
        <v>57</v>
      </c>
      <c r="B7" s="6">
        <v>15</v>
      </c>
      <c r="C7" s="5" t="s">
        <v>58</v>
      </c>
      <c r="D7" s="5" t="s">
        <v>59</v>
      </c>
    </row>
    <row r="8" ht="44" customHeight="1" spans="1:4">
      <c r="A8" s="5" t="s">
        <v>60</v>
      </c>
      <c r="B8" s="6">
        <v>10</v>
      </c>
      <c r="C8" s="5" t="s">
        <v>61</v>
      </c>
      <c r="D8" s="5" t="s">
        <v>62</v>
      </c>
    </row>
    <row r="9" ht="44" customHeight="1" spans="1:4">
      <c r="A9" s="5" t="s">
        <v>63</v>
      </c>
      <c r="B9" s="6">
        <v>15</v>
      </c>
      <c r="C9" s="5" t="s">
        <v>64</v>
      </c>
      <c r="D9" s="5" t="s">
        <v>65</v>
      </c>
    </row>
    <row r="10" ht="44" customHeight="1" spans="1:4">
      <c r="A10" s="5" t="s">
        <v>66</v>
      </c>
      <c r="B10" s="6">
        <v>10</v>
      </c>
      <c r="C10" s="5" t="s">
        <v>67</v>
      </c>
      <c r="D10" s="5" t="s">
        <v>68</v>
      </c>
    </row>
    <row r="11" spans="1:4">
      <c r="A11" s="3"/>
      <c r="B11" s="3"/>
      <c r="C11" s="3"/>
      <c r="D11" s="3"/>
    </row>
    <row r="12" spans="1:4">
      <c r="A12" s="4" t="s">
        <v>41</v>
      </c>
      <c r="B12" s="4" t="s">
        <v>42</v>
      </c>
      <c r="C12" s="4" t="s">
        <v>69</v>
      </c>
      <c r="D12" s="4" t="s">
        <v>70</v>
      </c>
    </row>
    <row r="13" ht="36" customHeight="1" spans="1:4">
      <c r="A13" s="5" t="s">
        <v>71</v>
      </c>
      <c r="B13" s="5" t="s">
        <v>72</v>
      </c>
      <c r="C13" s="5" t="s">
        <v>73</v>
      </c>
      <c r="D13" s="5" t="s">
        <v>74</v>
      </c>
    </row>
    <row r="14" ht="36" customHeight="1" spans="1:4">
      <c r="A14" s="5" t="s">
        <v>75</v>
      </c>
      <c r="B14" s="5" t="s">
        <v>76</v>
      </c>
      <c r="C14" s="5" t="s">
        <v>77</v>
      </c>
      <c r="D14" s="5" t="s">
        <v>78</v>
      </c>
    </row>
    <row r="15" ht="36" customHeight="1" spans="1:4">
      <c r="A15" s="5" t="s">
        <v>79</v>
      </c>
      <c r="B15" s="5" t="s">
        <v>80</v>
      </c>
      <c r="C15" s="5" t="s">
        <v>81</v>
      </c>
      <c r="D15" s="5" t="s">
        <v>82</v>
      </c>
    </row>
    <row r="16" ht="36" customHeight="1" spans="1:4">
      <c r="A16" s="5" t="s">
        <v>83</v>
      </c>
      <c r="B16" s="5" t="s">
        <v>84</v>
      </c>
      <c r="C16" s="5" t="s">
        <v>85</v>
      </c>
      <c r="D16" s="5" t="s">
        <v>86</v>
      </c>
    </row>
    <row r="17" ht="36" customHeight="1" spans="1:4">
      <c r="A17" s="5" t="s">
        <v>87</v>
      </c>
      <c r="B17" s="5" t="s">
        <v>84</v>
      </c>
      <c r="C17" s="5" t="s">
        <v>88</v>
      </c>
      <c r="D17" s="5" t="s">
        <v>89</v>
      </c>
    </row>
    <row r="18" spans="1:4">
      <c r="A18" s="3"/>
      <c r="B18" s="3"/>
      <c r="C18" s="3"/>
      <c r="D18" s="3"/>
    </row>
    <row r="19" ht="32" customHeight="1" spans="1:4">
      <c r="A19" s="7" t="s">
        <v>90</v>
      </c>
      <c r="B19" s="7"/>
      <c r="C19" s="7"/>
      <c r="D19" s="7"/>
    </row>
  </sheetData>
  <mergeCells count="3">
    <mergeCell ref="A1:D1"/>
    <mergeCell ref="A2:D2"/>
    <mergeCell ref="A19:D1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MVP范围</vt:lpstr>
      <vt:lpstr>评分说明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飞光飞光</cp:lastModifiedBy>
  <dcterms:created xsi:type="dcterms:W3CDTF">2026-10-06T22:30:42Z</dcterms:created>
  <dcterms:modified xsi:type="dcterms:W3CDTF">2026-10-06T22:30:56Z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FF29A6903F4B46512006C56AFAC0B1E7_42</vt:lpwstr>
  </property>
  <property fmtid="{D5CDD505-2E9C-101B-9397-08002B2CF9AE}" pid="3" name="KSOProductBuildVer">
    <vt:lpwstr>2052-12.1.28492.28492</vt:lpwstr>
  </property>
  <property fmtid="{D5CDD505-2E9C-101B-9397-08002B2CF9AE}" pid="4" name="CalculationRule">
    <vt:i4>0</vt:i4>
  </property>
</Properties>
</file>