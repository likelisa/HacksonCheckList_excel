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760" windowHeight="12340"/>
  </bookViews>
  <sheets>
    <sheet name="时间分配表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<sst xmlns="http://schemas.openxmlformats.org/spreadsheetml/2006/main" count="118" uniqueCount="87">
  <si>
    <t>黑客松时间分配表</t>
  </si>
  <si>
    <t>输入队员人数和黑客松墙钟时长，再调整各环节的时间比例。表格同时计算总人时和墙钟时间。</t>
  </si>
  <si>
    <t>输入与总量</t>
  </si>
  <si>
    <t>数值</t>
  </si>
  <si>
    <t>计算口径</t>
  </si>
  <si>
    <t/>
  </si>
  <si>
    <t>队员人数</t>
  </si>
  <si>
    <t>总人时</t>
  </si>
  <si>
    <t>队员人数 × 黑客松时长</t>
  </si>
  <si>
    <t>黑客松时长（墙钟小时）</t>
  </si>
  <si>
    <t>环节总人时</t>
  </si>
  <si>
    <t>总可用人时 × 时间比例</t>
  </si>
  <si>
    <t>总可用人时</t>
  </si>
  <si>
    <t>环节实际时间</t>
  </si>
  <si>
    <t>环节总人时 ÷ 参与人数</t>
  </si>
  <si>
    <t>时间比例合计</t>
  </si>
  <si>
    <t>注意</t>
  </si>
  <si>
    <t>如果全队同时参加某环节，参与人数=队员人数；如果只有部分队员参与，请修改参与人数。</t>
  </si>
  <si>
    <t>排表状态</t>
  </si>
  <si>
    <t>默认比例</t>
  </si>
  <si>
    <t>仅作参考，可直接修改；总计应为100%。</t>
  </si>
  <si>
    <t>环节</t>
  </si>
  <si>
    <t>任务</t>
  </si>
  <si>
    <t>时间比例</t>
  </si>
  <si>
    <t>参与人数</t>
  </si>
  <si>
    <t>分配总人时</t>
  </si>
  <si>
    <t>环节墙钟时间（小时）</t>
  </si>
  <si>
    <t>人均投入时间（小时）</t>
  </si>
  <si>
    <t>备注</t>
  </si>
  <si>
    <t>现场组队</t>
  </si>
  <si>
    <t>寻找队友；沟通并组队；确定最终队伍人数</t>
  </si>
  <si>
    <t>如已提前组队，可压缩或跳过</t>
  </si>
  <si>
    <t>思考点子</t>
  </si>
  <si>
    <t>根据比赛要求和赛道思考选题；发散和比较想法；确定最终题目</t>
  </si>
  <si>
    <t>达到明确选题后停止继续发散</t>
  </si>
  <si>
    <t>产品设计与MVP任务分配</t>
  </si>
  <si>
    <t>确定MVP范围；确定核心功能；设计产品和技术方案；确认并分配开发任务</t>
  </si>
  <si>
    <t>先明确做什么，再进入正式开发</t>
  </si>
  <si>
    <t>Demo开发</t>
  </si>
  <si>
    <t>配置环境；准备数据、模型和API；开发核心功能；连接模块；持续测试和修复</t>
  </si>
  <si>
    <t>测试检查属于开发过程的一部分</t>
  </si>
  <si>
    <t>路演设计</t>
  </si>
  <si>
    <t>设计希望评委看到的效果；确定路演主线；设计Demo展示逻辑、PPT和演讲结构</t>
  </si>
  <si>
    <t>先设计展示目标，再调整Demo</t>
  </si>
  <si>
    <t>Demo展示结果调试</t>
  </si>
  <si>
    <t>根据路演目标调整Demo；优化展示路径；准备账号、数据和备用方案</t>
  </si>
  <si>
    <t>重点是展示效果，不是普通功能测试</t>
  </si>
  <si>
    <t>PPT制作</t>
  </si>
  <si>
    <t>制作问题、方案、流程、技术亮点、Demo截图或视频、价值和未来规划</t>
  </si>
  <si>
    <t>确保PPT与Demo和讲稿一致</t>
  </si>
  <si>
    <t>演讲练习与问答模拟</t>
  </si>
  <si>
    <t>分配演讲内容；练习演讲和Demo；控制时长；完整彩排；模拟评委提问</t>
  </si>
  <si>
    <t>至少留出一次完整彩排</t>
  </si>
  <si>
    <t>规则、评审与最终提交</t>
  </si>
  <si>
    <t>最后确认规则和评审要求；填写表单；上传材料；检查链接和格式；确认提交成功</t>
  </si>
  <si>
    <t>放在最后集中检查和提交</t>
  </si>
  <si>
    <t>缓冲、休息与状态管理</t>
  </si>
  <si>
    <t>吃饭睡觉；处理故障和返工；队员轮换；临时调整；最终状态恢复</t>
  </si>
  <si>
    <t>贯穿全过程，不应只留到最后</t>
  </si>
  <si>
    <t>说明：总人时用于分配团队总投入；墙钟时间用于安排实际经过的时间。若一个环节由全队同时完成，墙钟时间=该环节总人时÷队员人数。</t>
  </si>
  <si>
    <t>黑客松时间表使用说明</t>
  </si>
  <si>
    <t>这张表以“队员人数 × 黑客松墙钟时长”计算总可用人时，再按环节比例分配。</t>
  </si>
  <si>
    <t>概念</t>
  </si>
  <si>
    <t>含义</t>
  </si>
  <si>
    <t>计算方式</t>
  </si>
  <si>
    <t>示例</t>
  </si>
  <si>
    <t>全队可投入时间的总量</t>
  </si>
  <si>
    <t>3人 × 24小时 = 72人时</t>
  </si>
  <si>
    <t>某个环节消耗的团队总投入</t>
  </si>
  <si>
    <t>总可用人时 × 该环节比例</t>
  </si>
  <si>
    <t>72 × 10% = 7.2人时</t>
  </si>
  <si>
    <t>墙钟时间</t>
  </si>
  <si>
    <t>实际从开始到结束经过的时间</t>
  </si>
  <si>
    <t>分配总人时 ÷ 参与人数</t>
  </si>
  <si>
    <t>7.2 ÷ 3 = 2.4小时</t>
  </si>
  <si>
    <t>填写建议</t>
  </si>
  <si>
    <t>1</t>
  </si>
  <si>
    <t>先输入队员人数和比赛时长</t>
  </si>
  <si>
    <t>2</t>
  </si>
  <si>
    <t>根据实际情况修改各环节的时间比例</t>
  </si>
  <si>
    <t>3</t>
  </si>
  <si>
    <t>确认时间比例合计等于100%</t>
  </si>
  <si>
    <t>4</t>
  </si>
  <si>
    <t>如果某环节不是全队参与，修改参与人数</t>
  </si>
  <si>
    <t>5</t>
  </si>
  <si>
    <t>总人时用于检查资源分配，墙钟时间用于安排排期</t>
  </si>
  <si>
    <t>默认比例只是起始参考，不同比赛时长、队伍规模和提交要求应当重新调整。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</si>
</sst>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name val="Carlito"/>
      <charset val="134"/>
    </font>
    <font>
      <b/>
      <sz val="16"/>
      <color rgb="FFFFFFFF"/>
      <name val="Aptos"/>
      <charset val="134"/>
    </font>
    <font>
      <i/>
      <sz val="10"/>
      <name val="Aptos"/>
      <charset val="134"/>
    </font>
    <font>
      <sz val="10"/>
      <name val="Aptos"/>
      <charset val="134"/>
    </font>
    <font>
      <b/>
      <sz val="10"/>
      <color rgb="FFFFFFFF"/>
      <name val="Aptos"/>
      <charset val="134"/>
    </font>
    <font>
      <b/>
      <sz val="10"/>
      <color rgb="FF006100"/>
      <name val="Aptos"/>
      <charset val="134"/>
    </font>
    <font>
      <i/>
      <sz val="10"/>
      <color rgb="FF7F6000"/>
      <name val="Aptos"/>
      <charset val="134"/>
    </font>
    <font>
      <b/>
      <sz val="10"/>
      <color rgb="FF1F4E78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/>
    </xf>
    <xf numFmtId="0" fontId="3" fillId="0" borderId="2" xfId="49" applyNumberFormat="1" applyFont="1" applyFill="1" applyBorder="1" applyAlignment="1">
      <alignment vertical="center" wrapText="1"/>
    </xf>
    <xf numFmtId="0" fontId="5" fillId="3" borderId="0" xfId="49" applyNumberFormat="1" applyFont="1" applyFill="1" applyBorder="1"/>
    <xf numFmtId="0" fontId="6" fillId="4" borderId="0" xfId="49" applyNumberFormat="1" applyFont="1" applyFill="1" applyBorder="1" applyAlignment="1">
      <alignment wrapText="1"/>
    </xf>
    <xf numFmtId="0" fontId="1" fillId="5" borderId="0" xfId="49" applyNumberFormat="1" applyFont="1" applyFill="1" applyAlignment="1">
      <alignment horizontal="center" vertical="center"/>
    </xf>
    <xf numFmtId="0" fontId="1" fillId="5" borderId="0" xfId="49" applyNumberFormat="1" applyFont="1" applyFill="1" applyBorder="1" applyAlignment="1">
      <alignment vertical="center"/>
    </xf>
    <xf numFmtId="0" fontId="2" fillId="6" borderId="0" xfId="49" applyNumberFormat="1" applyFont="1" applyFill="1" applyBorder="1" applyAlignment="1">
      <alignment vertical="center" wrapText="1"/>
    </xf>
    <xf numFmtId="0" fontId="4" fillId="5" borderId="1" xfId="49" applyNumberFormat="1" applyFont="1" applyFill="1" applyBorder="1" applyAlignment="1">
      <alignment horizontal="center"/>
    </xf>
    <xf numFmtId="0" fontId="7" fillId="6" borderId="3" xfId="49" applyNumberFormat="1" applyFont="1" applyFill="1" applyBorder="1"/>
    <xf numFmtId="0" fontId="7" fillId="7" borderId="3" xfId="49" applyNumberFormat="1" applyFont="1" applyFill="1" applyBorder="1"/>
    <xf numFmtId="0" fontId="3" fillId="4" borderId="3" xfId="49" applyNumberFormat="1" applyFont="1" applyFill="1" applyBorder="1" applyAlignment="1">
      <alignment horizontal="center"/>
    </xf>
    <xf numFmtId="0" fontId="3" fillId="8" borderId="4" xfId="49" applyNumberFormat="1" applyFont="1" applyFill="1" applyBorder="1" applyAlignment="1">
      <alignment vertical="center" wrapText="1"/>
    </xf>
    <xf numFmtId="176" fontId="3" fillId="4" borderId="3" xfId="49" applyNumberFormat="1" applyFont="1" applyFill="1" applyBorder="1" applyAlignment="1">
      <alignment horizontal="center"/>
    </xf>
    <xf numFmtId="9" fontId="3" fillId="4" borderId="3" xfId="49" applyNumberFormat="1" applyFont="1" applyFill="1" applyBorder="1" applyAlignment="1">
      <alignment horizontal="center"/>
    </xf>
    <xf numFmtId="0" fontId="4" fillId="5" borderId="1" xfId="49" applyNumberFormat="1" applyFont="1" applyFill="1" applyBorder="1" applyAlignment="1">
      <alignment horizontal="center" vertical="center" wrapText="1"/>
    </xf>
    <xf numFmtId="9" fontId="3" fillId="4" borderId="2" xfId="49" applyNumberFormat="1" applyFont="1" applyFill="1" applyBorder="1" applyAlignment="1">
      <alignment horizontal="center" vertical="center" wrapText="1"/>
    </xf>
    <xf numFmtId="0" fontId="3" fillId="7" borderId="2" xfId="49" applyNumberFormat="1" applyFont="1" applyFill="1" applyBorder="1" applyAlignment="1">
      <alignment horizontal="center" vertical="center" wrapText="1"/>
    </xf>
    <xf numFmtId="176" fontId="3" fillId="8" borderId="2" xfId="49" applyNumberFormat="1" applyFont="1" applyFill="1" applyBorder="1" applyAlignment="1">
      <alignment horizontal="center" vertical="center" wrapText="1"/>
    </xf>
    <xf numFmtId="0" fontId="3" fillId="8" borderId="2" xfId="49" applyNumberFormat="1" applyFont="1" applyFill="1" applyBorder="1" applyAlignment="1">
      <alignment vertical="center" wrapText="1"/>
    </xf>
    <xf numFmtId="0" fontId="6" fillId="4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H24"/>
  <sheetViews>
    <sheetView showGridLines="0" tabSelected="1" zoomScale="97" zoomScaleNormal="97" workbookViewId="0">
      <pane ySplit="11" topLeftCell="A14" activePane="bottomLeft" state="frozen"/>
      <selection/>
      <selection pane="bottomLeft" activeCell="A11" sqref="A11:C22"/>
    </sheetView>
  </sheetViews>
  <sheetFormatPr defaultColWidth="9" defaultRowHeight="16.8" outlineLevelCol="7"/>
  <cols>
    <col min="1" max="1" width="18" customWidth="1"/>
    <col min="2" max="2" width="39.2867647058824" customWidth="1"/>
    <col min="3" max="3" width="7.94852941176471" customWidth="1"/>
    <col min="4" max="4" width="11" customWidth="1"/>
    <col min="5" max="6" width="15" customWidth="1"/>
    <col min="7" max="7" width="17" customWidth="1"/>
    <col min="8" max="8" width="24" customWidth="1"/>
  </cols>
  <sheetData>
    <row r="1" ht="30" customHeight="1" spans="1:8">
      <c r="A1" s="8" t="s">
        <v>0</v>
      </c>
      <c r="B1" s="8"/>
      <c r="C1" s="9"/>
      <c r="D1" s="9"/>
      <c r="E1" s="9"/>
      <c r="F1" s="9"/>
      <c r="G1" s="9"/>
      <c r="H1" s="9"/>
    </row>
    <row r="2" ht="30" customHeight="1" spans="1:8">
      <c r="A2" s="10" t="s">
        <v>1</v>
      </c>
      <c r="B2" s="10"/>
      <c r="C2" s="10"/>
      <c r="D2" s="10"/>
      <c r="E2" s="10"/>
      <c r="F2" s="10"/>
      <c r="G2" s="10"/>
      <c r="H2" s="10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11" t="s">
        <v>2</v>
      </c>
      <c r="B4" s="11" t="s">
        <v>3</v>
      </c>
      <c r="C4" s="3"/>
      <c r="D4" s="12" t="s">
        <v>4</v>
      </c>
      <c r="E4" s="12" t="s">
        <v>5</v>
      </c>
      <c r="F4" s="12" t="s">
        <v>5</v>
      </c>
      <c r="G4" s="12" t="s">
        <v>5</v>
      </c>
      <c r="H4" s="12" t="s">
        <v>5</v>
      </c>
    </row>
    <row r="5" spans="1:8">
      <c r="A5" s="13" t="s">
        <v>6</v>
      </c>
      <c r="B5" s="14">
        <v>3</v>
      </c>
      <c r="C5" s="3"/>
      <c r="D5" s="15" t="s">
        <v>7</v>
      </c>
      <c r="E5" s="15" t="s">
        <v>8</v>
      </c>
      <c r="F5" s="15" t="s">
        <v>5</v>
      </c>
      <c r="G5" s="15" t="s">
        <v>5</v>
      </c>
      <c r="H5" s="15" t="s">
        <v>5</v>
      </c>
    </row>
    <row r="6" spans="1:8">
      <c r="A6" s="13" t="s">
        <v>9</v>
      </c>
      <c r="B6" s="14">
        <v>24</v>
      </c>
      <c r="C6" s="3"/>
      <c r="D6" s="15" t="s">
        <v>10</v>
      </c>
      <c r="E6" s="15" t="s">
        <v>11</v>
      </c>
      <c r="F6" s="15" t="s">
        <v>5</v>
      </c>
      <c r="G6" s="15" t="s">
        <v>5</v>
      </c>
      <c r="H6" s="15" t="s">
        <v>5</v>
      </c>
    </row>
    <row r="7" spans="1:8">
      <c r="A7" s="13" t="s">
        <v>12</v>
      </c>
      <c r="B7" s="16">
        <f>B5*B6</f>
        <v>72</v>
      </c>
      <c r="C7" s="3"/>
      <c r="D7" s="15" t="s">
        <v>13</v>
      </c>
      <c r="E7" s="15" t="s">
        <v>14</v>
      </c>
      <c r="F7" s="15" t="s">
        <v>5</v>
      </c>
      <c r="G7" s="15" t="s">
        <v>5</v>
      </c>
      <c r="H7" s="15" t="s">
        <v>5</v>
      </c>
    </row>
    <row r="8" spans="1:8">
      <c r="A8" s="13" t="s">
        <v>15</v>
      </c>
      <c r="B8" s="17">
        <f>SUM(C13:C22)</f>
        <v>1</v>
      </c>
      <c r="C8" s="3"/>
      <c r="D8" s="15" t="s">
        <v>16</v>
      </c>
      <c r="E8" s="15" t="s">
        <v>17</v>
      </c>
      <c r="F8" s="15" t="s">
        <v>5</v>
      </c>
      <c r="G8" s="15" t="s">
        <v>5</v>
      </c>
      <c r="H8" s="15" t="s">
        <v>5</v>
      </c>
    </row>
    <row r="9" spans="1:8">
      <c r="A9" s="13" t="s">
        <v>18</v>
      </c>
      <c r="B9" s="14" t="str">
        <f>IF(B8=1,"已平衡",IF(B8&lt;1,"未分配完","超过总时间"))</f>
        <v>已平衡</v>
      </c>
      <c r="C9" s="3"/>
      <c r="D9" s="15" t="s">
        <v>19</v>
      </c>
      <c r="E9" s="15" t="s">
        <v>20</v>
      </c>
      <c r="F9" s="15" t="s">
        <v>5</v>
      </c>
      <c r="G9" s="15" t="s">
        <v>5</v>
      </c>
      <c r="H9" s="15" t="s">
        <v>5</v>
      </c>
    </row>
    <row r="10" spans="1:8">
      <c r="A10" s="3"/>
      <c r="B10" s="3"/>
      <c r="C10" s="3"/>
      <c r="D10" s="3"/>
      <c r="E10" s="3"/>
      <c r="F10" s="3"/>
      <c r="G10" s="3"/>
      <c r="H10" s="3"/>
    </row>
    <row r="11" ht="36" customHeight="1" spans="1:8">
      <c r="A11" s="18" t="s">
        <v>21</v>
      </c>
      <c r="B11" s="18" t="s">
        <v>22</v>
      </c>
      <c r="C11" s="18" t="s">
        <v>23</v>
      </c>
      <c r="D11" s="18" t="s">
        <v>24</v>
      </c>
      <c r="E11" s="18" t="s">
        <v>25</v>
      </c>
      <c r="F11" s="18" t="s">
        <v>26</v>
      </c>
      <c r="G11" s="18" t="s">
        <v>27</v>
      </c>
      <c r="H11" s="18" t="s">
        <v>28</v>
      </c>
    </row>
    <row r="12" spans="1:8">
      <c r="A12" s="3"/>
      <c r="B12" s="3"/>
      <c r="C12" s="3"/>
      <c r="D12" s="3"/>
      <c r="E12" s="3"/>
      <c r="F12" s="3"/>
      <c r="G12" s="3"/>
      <c r="H12" s="3"/>
    </row>
    <row r="13" ht="23" customHeight="1" spans="1:8">
      <c r="A13" s="5" t="s">
        <v>29</v>
      </c>
      <c r="B13" s="5" t="s">
        <v>30</v>
      </c>
      <c r="C13" s="19">
        <v>0.05</v>
      </c>
      <c r="D13" s="20">
        <f t="shared" ref="D13:D22" si="0">$B$5</f>
        <v>3</v>
      </c>
      <c r="E13" s="21">
        <f t="shared" ref="E13:E22" si="1">$B$7*C13</f>
        <v>3.6</v>
      </c>
      <c r="F13" s="21">
        <f t="shared" ref="F13:F22" si="2">IF(D13=0,"",E13/D13)</f>
        <v>1.2</v>
      </c>
      <c r="G13" s="21">
        <f t="shared" ref="G13:G22" si="3">IF(D13=0,"",E13/D13)</f>
        <v>1.2</v>
      </c>
      <c r="H13" s="22" t="s">
        <v>31</v>
      </c>
    </row>
    <row r="14" ht="32" customHeight="1" spans="1:8">
      <c r="A14" s="5" t="s">
        <v>32</v>
      </c>
      <c r="B14" s="5" t="s">
        <v>33</v>
      </c>
      <c r="C14" s="19">
        <v>0.1</v>
      </c>
      <c r="D14" s="20">
        <f t="shared" si="0"/>
        <v>3</v>
      </c>
      <c r="E14" s="21">
        <f t="shared" si="1"/>
        <v>7.2</v>
      </c>
      <c r="F14" s="21">
        <f t="shared" si="2"/>
        <v>2.4</v>
      </c>
      <c r="G14" s="21">
        <f t="shared" si="3"/>
        <v>2.4</v>
      </c>
      <c r="H14" s="22" t="s">
        <v>34</v>
      </c>
    </row>
    <row r="15" ht="34" customHeight="1" spans="1:8">
      <c r="A15" s="5" t="s">
        <v>35</v>
      </c>
      <c r="B15" s="5" t="s">
        <v>36</v>
      </c>
      <c r="C15" s="19">
        <v>0.05</v>
      </c>
      <c r="D15" s="20">
        <f t="shared" si="0"/>
        <v>3</v>
      </c>
      <c r="E15" s="21">
        <f t="shared" si="1"/>
        <v>3.6</v>
      </c>
      <c r="F15" s="21">
        <f t="shared" si="2"/>
        <v>1.2</v>
      </c>
      <c r="G15" s="21">
        <f t="shared" si="3"/>
        <v>1.2</v>
      </c>
      <c r="H15" s="22" t="s">
        <v>37</v>
      </c>
    </row>
    <row r="16" ht="23" customHeight="1" spans="1:8">
      <c r="A16" s="5" t="s">
        <v>38</v>
      </c>
      <c r="B16" s="5" t="s">
        <v>39</v>
      </c>
      <c r="C16" s="19">
        <v>0.35</v>
      </c>
      <c r="D16" s="20">
        <f t="shared" si="0"/>
        <v>3</v>
      </c>
      <c r="E16" s="21">
        <f t="shared" si="1"/>
        <v>25.2</v>
      </c>
      <c r="F16" s="21">
        <f t="shared" si="2"/>
        <v>8.4</v>
      </c>
      <c r="G16" s="21">
        <f t="shared" si="3"/>
        <v>8.4</v>
      </c>
      <c r="H16" s="22" t="s">
        <v>40</v>
      </c>
    </row>
    <row r="17" ht="32" customHeight="1" spans="1:8">
      <c r="A17" s="5" t="s">
        <v>41</v>
      </c>
      <c r="B17" s="5" t="s">
        <v>42</v>
      </c>
      <c r="C17" s="19">
        <v>0.1</v>
      </c>
      <c r="D17" s="20">
        <f t="shared" si="0"/>
        <v>3</v>
      </c>
      <c r="E17" s="21">
        <f t="shared" si="1"/>
        <v>7.2</v>
      </c>
      <c r="F17" s="21">
        <f t="shared" si="2"/>
        <v>2.4</v>
      </c>
      <c r="G17" s="21">
        <f t="shared" si="3"/>
        <v>2.4</v>
      </c>
      <c r="H17" s="22" t="s">
        <v>43</v>
      </c>
    </row>
    <row r="18" ht="31" customHeight="1" spans="1:8">
      <c r="A18" s="5" t="s">
        <v>44</v>
      </c>
      <c r="B18" s="5" t="s">
        <v>45</v>
      </c>
      <c r="C18" s="19">
        <v>0.05</v>
      </c>
      <c r="D18" s="20">
        <f t="shared" si="0"/>
        <v>3</v>
      </c>
      <c r="E18" s="21">
        <f t="shared" si="1"/>
        <v>3.6</v>
      </c>
      <c r="F18" s="21">
        <f t="shared" si="2"/>
        <v>1.2</v>
      </c>
      <c r="G18" s="21">
        <f t="shared" si="3"/>
        <v>1.2</v>
      </c>
      <c r="H18" s="22" t="s">
        <v>46</v>
      </c>
    </row>
    <row r="19" ht="22" customHeight="1" spans="1:8">
      <c r="A19" s="5" t="s">
        <v>47</v>
      </c>
      <c r="B19" s="5" t="s">
        <v>48</v>
      </c>
      <c r="C19" s="19">
        <v>0.02</v>
      </c>
      <c r="D19" s="20">
        <f t="shared" si="0"/>
        <v>3</v>
      </c>
      <c r="E19" s="21">
        <f t="shared" si="1"/>
        <v>1.44</v>
      </c>
      <c r="F19" s="21">
        <f t="shared" si="2"/>
        <v>0.48</v>
      </c>
      <c r="G19" s="21">
        <f t="shared" si="3"/>
        <v>0.48</v>
      </c>
      <c r="H19" s="22" t="s">
        <v>49</v>
      </c>
    </row>
    <row r="20" ht="25" customHeight="1" spans="1:8">
      <c r="A20" s="5" t="s">
        <v>50</v>
      </c>
      <c r="B20" s="5" t="s">
        <v>51</v>
      </c>
      <c r="C20" s="19">
        <v>0.05</v>
      </c>
      <c r="D20" s="20">
        <f t="shared" si="0"/>
        <v>3</v>
      </c>
      <c r="E20" s="21">
        <f t="shared" si="1"/>
        <v>3.6</v>
      </c>
      <c r="F20" s="21">
        <f t="shared" si="2"/>
        <v>1.2</v>
      </c>
      <c r="G20" s="21">
        <f t="shared" si="3"/>
        <v>1.2</v>
      </c>
      <c r="H20" s="22" t="s">
        <v>52</v>
      </c>
    </row>
    <row r="21" ht="19" customHeight="1" spans="1:8">
      <c r="A21" s="5" t="s">
        <v>53</v>
      </c>
      <c r="B21" s="5" t="s">
        <v>54</v>
      </c>
      <c r="C21" s="19">
        <v>0.03</v>
      </c>
      <c r="D21" s="20">
        <f t="shared" si="0"/>
        <v>3</v>
      </c>
      <c r="E21" s="21">
        <f t="shared" si="1"/>
        <v>2.16</v>
      </c>
      <c r="F21" s="21">
        <f t="shared" si="2"/>
        <v>0.72</v>
      </c>
      <c r="G21" s="21">
        <f t="shared" si="3"/>
        <v>0.72</v>
      </c>
      <c r="H21" s="22" t="s">
        <v>55</v>
      </c>
    </row>
    <row r="22" ht="21" customHeight="1" spans="1:8">
      <c r="A22" s="5" t="s">
        <v>56</v>
      </c>
      <c r="B22" s="5" t="s">
        <v>57</v>
      </c>
      <c r="C22" s="19">
        <v>0.2</v>
      </c>
      <c r="D22" s="20">
        <f t="shared" si="0"/>
        <v>3</v>
      </c>
      <c r="E22" s="21">
        <f t="shared" si="1"/>
        <v>14.4</v>
      </c>
      <c r="F22" s="21">
        <f t="shared" si="2"/>
        <v>4.8</v>
      </c>
      <c r="G22" s="21">
        <f t="shared" si="3"/>
        <v>4.8</v>
      </c>
      <c r="H22" s="22" t="s">
        <v>58</v>
      </c>
    </row>
    <row r="23" spans="1:8">
      <c r="A23" s="3"/>
      <c r="B23" s="3"/>
      <c r="C23" s="3"/>
      <c r="D23" s="3"/>
      <c r="E23" s="3"/>
      <c r="F23" s="3"/>
      <c r="G23" s="3"/>
      <c r="H23" s="3"/>
    </row>
    <row r="24" ht="34" customHeight="1" spans="1:8">
      <c r="A24" s="23" t="s">
        <v>59</v>
      </c>
      <c r="B24" s="23"/>
      <c r="C24" s="23"/>
      <c r="D24" s="23"/>
      <c r="E24" s="23"/>
      <c r="F24" s="23"/>
      <c r="G24" s="23"/>
      <c r="H24" s="23"/>
    </row>
  </sheetData>
  <mergeCells count="9">
    <mergeCell ref="A1:B1"/>
    <mergeCell ref="A2:H2"/>
    <mergeCell ref="D4:H4"/>
    <mergeCell ref="D5:H5"/>
    <mergeCell ref="D6:H6"/>
    <mergeCell ref="D7:H7"/>
    <mergeCell ref="D8:H8"/>
    <mergeCell ref="D9:H9"/>
    <mergeCell ref="A24:H24"/>
  </mergeCells>
  <conditionalFormatting sqref="B9">
    <cfRule type="containsText" dxfId="0" priority="1" operator="between" text="已平衡">
      <formula>NOT(ISERROR(SEARCH("已平衡",B9)))</formula>
    </cfRule>
    <cfRule type="containsText" dxfId="1" priority="2" operator="between" text="未分配完">
      <formula>NOT(ISERROR(SEARCH("未分配完",B9)))</formula>
    </cfRule>
    <cfRule type="containsText" dxfId="2" priority="3" operator="between" text="超过总时间">
      <formula>NOT(ISERROR(SEARCH("超过总时间",B9)))</formula>
    </cfRule>
  </conditionalFormatting>
  <dataValidations count="3">
    <dataValidation type="whole" operator="between" sqref="B5 D13:D22">
      <formula1>1</formula1>
      <formula2>20</formula2>
    </dataValidation>
    <dataValidation type="decimal" operator="greaterThan" sqref="B6">
      <formula1>0</formula1>
    </dataValidation>
    <dataValidation type="decimal" operator="between" sqref="C13:C22">
      <formula1>0</formula1>
      <formula2>1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D16"/>
  <sheetViews>
    <sheetView showGridLines="0" workbookViewId="0">
      <selection activeCell="A1" sqref="A1:D1"/>
    </sheetView>
  </sheetViews>
  <sheetFormatPr defaultColWidth="9" defaultRowHeight="16.8" outlineLevelCol="3"/>
  <cols>
    <col min="1" max="1" width="18" customWidth="1"/>
    <col min="2" max="2" width="34" customWidth="1"/>
    <col min="3" max="3" width="30" customWidth="1"/>
    <col min="4" max="4" width="28" customWidth="1"/>
  </cols>
  <sheetData>
    <row r="1" ht="30" customHeight="1" spans="1:4">
      <c r="A1" s="1" t="s">
        <v>60</v>
      </c>
      <c r="B1" s="1"/>
      <c r="C1" s="1"/>
      <c r="D1" s="1"/>
    </row>
    <row r="2" ht="30" customHeight="1" spans="1:4">
      <c r="A2" s="2" t="s">
        <v>61</v>
      </c>
      <c r="B2" s="2"/>
      <c r="C2" s="2"/>
      <c r="D2" s="2"/>
    </row>
    <row r="3" spans="1:4">
      <c r="A3" s="3"/>
      <c r="B3" s="3"/>
      <c r="C3" s="3"/>
      <c r="D3" s="3"/>
    </row>
    <row r="4" spans="1:4">
      <c r="A4" s="4" t="s">
        <v>62</v>
      </c>
      <c r="B4" s="4" t="s">
        <v>63</v>
      </c>
      <c r="C4" s="4" t="s">
        <v>64</v>
      </c>
      <c r="D4" s="4" t="s">
        <v>65</v>
      </c>
    </row>
    <row r="5" ht="40" customHeight="1" spans="1:4">
      <c r="A5" s="5" t="s">
        <v>12</v>
      </c>
      <c r="B5" s="5" t="s">
        <v>66</v>
      </c>
      <c r="C5" s="5" t="s">
        <v>8</v>
      </c>
      <c r="D5" s="5" t="s">
        <v>67</v>
      </c>
    </row>
    <row r="6" ht="40" customHeight="1" spans="1:4">
      <c r="A6" s="5" t="s">
        <v>25</v>
      </c>
      <c r="B6" s="5" t="s">
        <v>68</v>
      </c>
      <c r="C6" s="5" t="s">
        <v>69</v>
      </c>
      <c r="D6" s="5" t="s">
        <v>70</v>
      </c>
    </row>
    <row r="7" ht="40" customHeight="1" spans="1:4">
      <c r="A7" s="5" t="s">
        <v>71</v>
      </c>
      <c r="B7" s="5" t="s">
        <v>72</v>
      </c>
      <c r="C7" s="5" t="s">
        <v>73</v>
      </c>
      <c r="D7" s="5" t="s">
        <v>74</v>
      </c>
    </row>
    <row r="8" spans="1:4">
      <c r="A8" s="3"/>
      <c r="B8" s="3"/>
      <c r="C8" s="3"/>
      <c r="D8" s="3"/>
    </row>
    <row r="9" spans="1:4">
      <c r="A9" s="6" t="s">
        <v>75</v>
      </c>
      <c r="B9" s="6"/>
      <c r="C9" s="6"/>
      <c r="D9" s="6"/>
    </row>
    <row r="10" ht="28" customHeight="1" spans="1:4">
      <c r="A10" s="5" t="s">
        <v>76</v>
      </c>
      <c r="B10" s="5" t="s">
        <v>77</v>
      </c>
      <c r="C10" s="5" t="s">
        <v>5</v>
      </c>
      <c r="D10" s="5" t="s">
        <v>5</v>
      </c>
    </row>
    <row r="11" ht="28" customHeight="1" spans="1:4">
      <c r="A11" s="5" t="s">
        <v>78</v>
      </c>
      <c r="B11" s="5" t="s">
        <v>79</v>
      </c>
      <c r="C11" s="5" t="s">
        <v>5</v>
      </c>
      <c r="D11" s="5" t="s">
        <v>5</v>
      </c>
    </row>
    <row r="12" ht="28" customHeight="1" spans="1:4">
      <c r="A12" s="5" t="s">
        <v>80</v>
      </c>
      <c r="B12" s="5" t="s">
        <v>81</v>
      </c>
      <c r="C12" s="5" t="s">
        <v>5</v>
      </c>
      <c r="D12" s="5" t="s">
        <v>5</v>
      </c>
    </row>
    <row r="13" ht="28" customHeight="1" spans="1:4">
      <c r="A13" s="5" t="s">
        <v>82</v>
      </c>
      <c r="B13" s="5" t="s">
        <v>83</v>
      </c>
      <c r="C13" s="5" t="s">
        <v>5</v>
      </c>
      <c r="D13" s="5" t="s">
        <v>5</v>
      </c>
    </row>
    <row r="14" ht="28" customHeight="1" spans="1:4">
      <c r="A14" s="5" t="s">
        <v>84</v>
      </c>
      <c r="B14" s="5" t="s">
        <v>85</v>
      </c>
      <c r="C14" s="5" t="s">
        <v>5</v>
      </c>
      <c r="D14" s="5" t="s">
        <v>5</v>
      </c>
    </row>
    <row r="15" spans="1:4">
      <c r="A15" s="3"/>
      <c r="B15" s="3"/>
      <c r="C15" s="3"/>
      <c r="D15" s="3"/>
    </row>
    <row r="16" spans="1:4">
      <c r="A16" s="7" t="s">
        <v>86</v>
      </c>
      <c r="B16" s="7"/>
      <c r="C16" s="7"/>
      <c r="D16" s="7"/>
    </row>
  </sheetData>
  <mergeCells count="4">
    <mergeCell ref="A1:D1"/>
    <mergeCell ref="A2:D2"/>
    <mergeCell ref="A9:D9"/>
    <mergeCell ref="A16:D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时间分配表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飞光飞光</cp:lastModifiedBy>
  <dcterms:created xsi:type="dcterms:W3CDTF">2026-09-24T09:43:11Z</dcterms:created>
  <dcterms:modified xsi:type="dcterms:W3CDTF">2026-09-24T09:57:29Z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45A0232F7FA97CB18983B46A5D4189D6_42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