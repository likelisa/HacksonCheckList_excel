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40" activeTab="1"/>
  </bookViews>
  <sheets>
    <sheet name="选题评分" sheetId="1" r:id="rId1"/>
    <sheet name="评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<sst xmlns="http://schemas.openxmlformats.org/spreadsheetml/2006/main" count="76" uniqueCount="66">
  <si>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黑客松赛道 / 选题判断评分表</t>
  </si>
  <si>
    <t>使用方法：在 C3:G3 填入候选赛道/选题名称；每项按 1–5 分评分。系统按权重换算为 100 分，完成评分且总分 ≥ 60 且无硬性否决项，结论为“值得选”。</t>
  </si>
  <si>
    <t>评分维度</t>
  </si>
  <si>
    <t>权重</t>
  </si>
  <si>
    <t>候选选题A</t>
  </si>
  <si>
    <t>候选选题B</t>
  </si>
  <si>
    <t>候选选题C</t>
  </si>
  <si>
    <t>候选选题D</t>
  </si>
  <si>
    <t>候选选题E</t>
  </si>
  <si>
    <t>真实需求/痛点强度</t>
  </si>
  <si>
    <t>黑客松时间内可实现性</t>
  </si>
  <si>
    <t>技术资源可得性（如数据, API）</t>
  </si>
  <si>
    <t>创新性与差异化</t>
  </si>
  <si>
    <t>现场演示冲击力</t>
  </si>
  <si>
    <t>评审标准匹配度（如有）</t>
  </si>
  <si>
    <t>团队能力与资源匹配</t>
  </si>
  <si>
    <t>产品闭环完整度</t>
  </si>
  <si>
    <t>可扩展性与后续价值</t>
  </si>
  <si>
    <t>技术/合规/依赖风险可控性</t>
  </si>
  <si>
    <t>总分（满分100）</t>
  </si>
  <si>
    <t/>
  </si>
  <si>
    <t>硬性否决项</t>
  </si>
  <si>
    <t>否</t>
  </si>
  <si>
    <t>最终结论</t>
  </si>
  <si>
    <t>详细评分锚点请查看“评分说明”工作表。</t>
  </si>
  <si>
    <t>硬性否决项：违法或明显合规风险；关键数据/API无法获取；无法在比赛时间内完成最小闭环；不符合赛道要求；团队没有任何可执行路径。</t>
  </si>
  <si>
    <t>决策提醒：55–65 分是临界区，应优先补充用户需求、数据/API可得性、比赛规则和 MVP 范围信息后再评分。分数越高，代表越值得选，但高分不能替代关键事实验证。</t>
  </si>
  <si>
    <t>黑客松赛道 / 选题评分说明</t>
  </si>
  <si>
    <t>每项按 1–5 分评分：1 分代表非常差，3 分代表一般可接受，5 分代表非常好。请结合事实、用户访谈、比赛规则和技术验证来打分。</t>
  </si>
  <si>
    <t>评估维度</t>
  </si>
  <si>
    <t>核心问题</t>
  </si>
  <si>
    <t>1分锚点</t>
  </si>
  <si>
    <t>5分锚点</t>
  </si>
  <si>
    <t>用户是否真的痛、频率高、愿意解决？</t>
  </si>
  <si>
    <t>自嗨型想法，用户价值不明确</t>
  </si>
  <si>
    <t>高频刚需，有清晰用户和场景</t>
  </si>
  <si>
    <t>能否在比赛周期内做出可演示 MVP？</t>
  </si>
  <si>
    <t>范围过大，无法完成闭环</t>
  </si>
  <si>
    <t>范围聚焦，核心流程可落地</t>
  </si>
  <si>
    <t>数据/API/技术资源可得性</t>
  </si>
  <si>
    <t>关键数据、模型、API、设备是否拿得到？</t>
  </si>
  <si>
    <t>依赖不可获得或不稳定资源</t>
  </si>
  <si>
    <t>资源已确认，接入路径清晰</t>
  </si>
  <si>
    <t>和已有方案相比，为什么值得关注？</t>
  </si>
  <si>
    <t>同质化严重，缺少新意</t>
  </si>
  <si>
    <t>有清晰创新点和竞争壁垒</t>
  </si>
  <si>
    <t>评审能否快速看懂并被打动？</t>
  </si>
  <si>
    <t>难以展示，价值要解释很久</t>
  </si>
  <si>
    <t>三分钟内能直观看到效果</t>
  </si>
  <si>
    <t>评审标准匹配度</t>
  </si>
  <si>
    <t>是否直接命中主题、赛道和评分标准？</t>
  </si>
  <si>
    <t>与赛题要求弱相关</t>
  </si>
  <si>
    <t>几乎每个评分点都有证据</t>
  </si>
  <si>
    <t>队伍是否具备做成它的关键能力？</t>
  </si>
  <si>
    <t>缺少关键技术/产品角色</t>
  </si>
  <si>
    <t>能力互补，已有相关积累</t>
  </si>
  <si>
    <t>是否形成“输入—处理—输出—价值”的闭环？</t>
  </si>
  <si>
    <t>只有概念或单点功能</t>
  </si>
  <si>
    <t>用户可使用，结果可验证</t>
  </si>
  <si>
    <t>比赛后能否继续迭代、落地或形成作品？</t>
  </si>
  <si>
    <t>一次性 Demo，难以延伸</t>
  </si>
  <si>
    <t>有明确用户、商业或作品集价值</t>
  </si>
  <si>
    <t>隐私、版权、稳定性和技术风险可控吗？</t>
  </si>
  <si>
    <t>存在关键不可控风险</t>
  </si>
  <si>
    <t>风险已识别并有替代方案</t>
  </si>
  <si>
    <t>决策提醒：55–65 分是临界区，应优先补充用户需求、数据/API可得性、比赛规则和 MVP 范围信息后再评分。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</si>
</sst>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1"/>
      <name val="Carlito"/>
      <charset val="134"/>
    </font>
    <font>
      <b/>
      <sz val="16"/>
      <color rgb="FFFFFFFF"/>
      <name val="Aptos"/>
      <charset val="134"/>
    </font>
    <font>
      <i/>
      <sz val="10"/>
      <name val="Aptos"/>
      <charset val="134"/>
    </font>
    <font>
      <sz val="10"/>
      <name val="Aptos"/>
      <charset val="134"/>
    </font>
    <font>
      <b/>
      <sz val="10"/>
      <color rgb="FFFFFFFF"/>
      <name val="Aptos"/>
      <charset val="134"/>
    </font>
    <font>
      <i/>
      <sz val="10"/>
      <color rgb="FF7F6000"/>
      <name val="Aptos"/>
      <charset val="134"/>
    </font>
    <font>
      <i/>
      <sz val="10"/>
      <color rgb="FF1F1F1F"/>
      <name val="Aptos"/>
      <charset val="134"/>
    </font>
    <font>
      <b/>
      <sz val="10"/>
      <color rgb="FF1F4E78"/>
      <name val="Aptos"/>
      <charset val="134"/>
    </font>
    <font>
      <b/>
      <sz val="10"/>
      <name val="Aptos"/>
      <charset val="134"/>
    </font>
    <font>
      <b/>
      <sz val="10"/>
      <color rgb="FF274E13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3EDF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vertical="center" wrapText="1"/>
    </xf>
    <xf numFmtId="0" fontId="5" fillId="4" borderId="0" xfId="49" applyNumberFormat="1" applyFont="1" applyFill="1" applyBorder="1" applyAlignment="1">
      <alignment vertical="center" wrapText="1"/>
    </xf>
    <xf numFmtId="0" fontId="1" fillId="5" borderId="0" xfId="49" applyNumberFormat="1" applyFont="1" applyFill="1" applyBorder="1" applyAlignment="1">
      <alignment horizontal="center" vertical="center"/>
    </xf>
    <xf numFmtId="0" fontId="6" fillId="6" borderId="0" xfId="49" applyNumberFormat="1" applyFont="1" applyFill="1" applyBorder="1" applyAlignment="1">
      <alignment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3" fillId="7" borderId="2" xfId="49" applyNumberFormat="1" applyFont="1" applyFill="1" applyBorder="1" applyAlignment="1">
      <alignment vertical="center" wrapText="1"/>
    </xf>
    <xf numFmtId="1" fontId="3" fillId="7" borderId="2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horizontal="center" vertical="center"/>
    </xf>
    <xf numFmtId="0" fontId="7" fillId="8" borderId="3" xfId="49" applyNumberFormat="1" applyFont="1" applyFill="1" applyBorder="1" applyAlignment="1">
      <alignment vertical="center"/>
    </xf>
    <xf numFmtId="0" fontId="3" fillId="8" borderId="3" xfId="49" applyNumberFormat="1" applyFont="1" applyFill="1" applyBorder="1" applyAlignment="1">
      <alignment vertical="center"/>
    </xf>
    <xf numFmtId="176" fontId="3" fillId="0" borderId="3" xfId="49" applyNumberFormat="1" applyFont="1" applyFill="1" applyBorder="1" applyAlignment="1">
      <alignment horizontal="center" vertical="center"/>
    </xf>
    <xf numFmtId="0" fontId="3" fillId="9" borderId="3" xfId="49" applyNumberFormat="1" applyFont="1" applyFill="1" applyBorder="1" applyAlignment="1">
      <alignment horizontal="center" vertical="center"/>
    </xf>
    <xf numFmtId="0" fontId="8" fillId="4" borderId="3" xfId="49" applyNumberFormat="1" applyFont="1" applyFill="1" applyBorder="1" applyAlignment="1">
      <alignment horizontal="center" vertical="center"/>
    </xf>
    <xf numFmtId="0" fontId="9" fillId="10" borderId="0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34"/>
  <sheetViews>
    <sheetView showGridLines="0" workbookViewId="0">
      <pane ySplit="3" topLeftCell="A4" activePane="bottomLeft" state="frozen"/>
      <selection/>
      <selection pane="bottomLeft" activeCell="A11" sqref="A11"/>
    </sheetView>
  </sheetViews>
  <sheetFormatPr defaultColWidth="9" defaultRowHeight="16.8" outlineLevelCol="6"/>
  <cols>
    <col min="1" max="1" width="21.5735294117647" customWidth="1"/>
    <col min="2" max="2" width="9" customWidth="1"/>
    <col min="3" max="7" width="15" customWidth="1"/>
  </cols>
  <sheetData>
    <row r="1" ht="30" customHeight="1" spans="1:7">
      <c r="A1" s="7" t="s">
        <v>0</v>
      </c>
      <c r="B1" s="7"/>
      <c r="C1" s="7"/>
      <c r="D1" s="7"/>
      <c r="E1" s="7"/>
      <c r="F1" s="7"/>
      <c r="G1" s="7"/>
    </row>
    <row r="2" ht="32" customHeight="1" spans="1:7">
      <c r="A2" s="8" t="s">
        <v>1</v>
      </c>
      <c r="B2" s="8"/>
      <c r="C2" s="8"/>
      <c r="D2" s="8"/>
      <c r="E2" s="8"/>
      <c r="F2" s="8"/>
      <c r="G2" s="8"/>
    </row>
    <row r="3" ht="34" customHeight="1" spans="1:7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pans="1:7">
      <c r="A4" s="3"/>
      <c r="B4" s="3"/>
      <c r="C4" s="3"/>
      <c r="D4" s="3"/>
      <c r="E4" s="3"/>
      <c r="F4" s="3"/>
      <c r="G4" s="3"/>
    </row>
    <row r="5" ht="28" customHeight="1" spans="1:7">
      <c r="A5" s="10" t="s">
        <v>9</v>
      </c>
      <c r="B5" s="11">
        <v>18</v>
      </c>
      <c r="C5" s="12">
        <v>5</v>
      </c>
      <c r="D5" s="12">
        <v>5</v>
      </c>
      <c r="E5" s="12">
        <v>5</v>
      </c>
      <c r="F5" s="12">
        <v>5</v>
      </c>
      <c r="G5" s="12">
        <v>5</v>
      </c>
    </row>
    <row r="6" ht="28" customHeight="1" spans="1:7">
      <c r="A6" s="10" t="s">
        <v>10</v>
      </c>
      <c r="B6" s="11">
        <v>15</v>
      </c>
      <c r="C6" s="12">
        <v>5</v>
      </c>
      <c r="D6" s="12">
        <v>4</v>
      </c>
      <c r="E6" s="12">
        <v>4</v>
      </c>
      <c r="F6" s="12">
        <v>4</v>
      </c>
      <c r="G6" s="12">
        <v>4</v>
      </c>
    </row>
    <row r="7" ht="28" customHeight="1" spans="1:7">
      <c r="A7" s="10" t="s">
        <v>11</v>
      </c>
      <c r="B7" s="11">
        <v>12</v>
      </c>
      <c r="C7" s="12">
        <v>3</v>
      </c>
      <c r="D7" s="12">
        <v>3</v>
      </c>
      <c r="E7" s="12">
        <v>3</v>
      </c>
      <c r="F7" s="12">
        <v>3</v>
      </c>
      <c r="G7" s="12">
        <v>3</v>
      </c>
    </row>
    <row r="8" ht="28" customHeight="1" spans="1:7">
      <c r="A8" s="10" t="s">
        <v>12</v>
      </c>
      <c r="B8" s="11">
        <v>12</v>
      </c>
      <c r="C8" s="12">
        <v>3</v>
      </c>
      <c r="D8" s="12">
        <v>2</v>
      </c>
      <c r="E8" s="12">
        <v>2</v>
      </c>
      <c r="F8" s="12">
        <v>2</v>
      </c>
      <c r="G8" s="12">
        <v>3</v>
      </c>
    </row>
    <row r="9" ht="28" customHeight="1" spans="1:7">
      <c r="A9" s="10" t="s">
        <v>13</v>
      </c>
      <c r="B9" s="11">
        <v>10</v>
      </c>
      <c r="C9" s="12">
        <v>3</v>
      </c>
      <c r="D9" s="12">
        <v>2</v>
      </c>
      <c r="E9" s="12">
        <v>1</v>
      </c>
      <c r="F9" s="12">
        <v>2</v>
      </c>
      <c r="G9" s="12">
        <v>3</v>
      </c>
    </row>
    <row r="10" ht="28" customHeight="1" spans="1:7">
      <c r="A10" s="10" t="s">
        <v>14</v>
      </c>
      <c r="B10" s="11">
        <v>10</v>
      </c>
      <c r="C10" s="12">
        <v>3</v>
      </c>
      <c r="D10" s="12">
        <v>2</v>
      </c>
      <c r="E10" s="12">
        <v>2</v>
      </c>
      <c r="F10" s="12">
        <v>2</v>
      </c>
      <c r="G10" s="12">
        <v>3</v>
      </c>
    </row>
    <row r="11" ht="28" customHeight="1" spans="1:7">
      <c r="A11" s="10" t="s">
        <v>15</v>
      </c>
      <c r="B11" s="11">
        <v>8</v>
      </c>
      <c r="C11" s="12">
        <v>3</v>
      </c>
      <c r="D11" s="12">
        <v>3</v>
      </c>
      <c r="E11" s="12">
        <v>3</v>
      </c>
      <c r="F11" s="12">
        <v>3</v>
      </c>
      <c r="G11" s="12">
        <v>3</v>
      </c>
    </row>
    <row r="12" ht="28" customHeight="1" spans="1:7">
      <c r="A12" s="10" t="s">
        <v>16</v>
      </c>
      <c r="B12" s="11">
        <v>6</v>
      </c>
      <c r="C12" s="12">
        <v>5</v>
      </c>
      <c r="D12" s="12">
        <v>4</v>
      </c>
      <c r="E12" s="12">
        <v>3</v>
      </c>
      <c r="F12" s="12">
        <v>2</v>
      </c>
      <c r="G12" s="12">
        <v>4</v>
      </c>
    </row>
    <row r="13" ht="28" customHeight="1" spans="1:7">
      <c r="A13" s="10" t="s">
        <v>17</v>
      </c>
      <c r="B13" s="11">
        <v>5</v>
      </c>
      <c r="C13" s="12">
        <v>5</v>
      </c>
      <c r="D13" s="12">
        <v>4</v>
      </c>
      <c r="E13" s="12">
        <v>3</v>
      </c>
      <c r="F13" s="12">
        <v>2</v>
      </c>
      <c r="G13" s="12">
        <v>5</v>
      </c>
    </row>
    <row r="14" ht="28" customHeight="1" spans="1:7">
      <c r="A14" s="10" t="s">
        <v>18</v>
      </c>
      <c r="B14" s="11">
        <v>4</v>
      </c>
      <c r="C14" s="12">
        <v>5</v>
      </c>
      <c r="D14" s="12">
        <v>4</v>
      </c>
      <c r="E14" s="12">
        <v>3</v>
      </c>
      <c r="F14" s="12">
        <v>2</v>
      </c>
      <c r="G14" s="12">
        <v>5</v>
      </c>
    </row>
    <row r="15" spans="1:7">
      <c r="A15" s="3"/>
      <c r="B15" s="3"/>
      <c r="C15" s="3"/>
      <c r="D15" s="3"/>
      <c r="E15" s="3"/>
      <c r="F15" s="3"/>
      <c r="G15" s="3"/>
    </row>
    <row r="16" spans="1:7">
      <c r="A16" s="13" t="s">
        <v>19</v>
      </c>
      <c r="B16" s="14" t="s">
        <v>20</v>
      </c>
      <c r="C16" s="15">
        <f>IF(COUNT(C5:C14)&lt;10,"",SUMPRODUCT($B$5:$B$14,C5:C14)/5)</f>
        <v>79.2</v>
      </c>
      <c r="D16" s="15">
        <f>IF(COUNT(D5:D14)&lt;10,"",SUMPRODUCT($B$5:$B$14,D5:D14)/5)</f>
        <v>66.8</v>
      </c>
      <c r="E16" s="15">
        <f>IF(COUNT(E5:E14)&lt;10,"",SUMPRODUCT($B$5:$B$14,E5:E14)/5)</f>
        <v>61.8</v>
      </c>
      <c r="F16" s="15">
        <f>IF(COUNT(F5:F14)&lt;10,"",SUMPRODUCT($B$5:$B$14,F5:F14)/5)</f>
        <v>60.8</v>
      </c>
      <c r="G16" s="15">
        <f>IF(COUNT(G5:G14)&lt;10,"",SUMPRODUCT($B$5:$B$14,G5:G14)/5)</f>
        <v>75</v>
      </c>
    </row>
    <row r="17" spans="1:7">
      <c r="A17" s="13" t="s">
        <v>21</v>
      </c>
      <c r="B17" s="14" t="s">
        <v>22</v>
      </c>
      <c r="C17" s="16"/>
      <c r="D17" s="16"/>
      <c r="E17" s="16"/>
      <c r="F17" s="16"/>
      <c r="G17" s="16"/>
    </row>
    <row r="18" spans="1:7">
      <c r="A18" s="13" t="s">
        <v>23</v>
      </c>
      <c r="B18" s="14" t="s">
        <v>20</v>
      </c>
      <c r="C18" s="17" t="str">
        <f>IF(COUNT(C5:C14)&lt;10,"待评分",IF(C17="是","不值得选",IF(C16&gt;=60,"值得选","不值得选")))</f>
        <v>值得选</v>
      </c>
      <c r="D18" s="17" t="str">
        <f>IF(COUNT(D5:D14)&lt;10,"待评分",IF(D17="是","不值得选",IF(D16&gt;=60,"值得选","不值得选")))</f>
        <v>值得选</v>
      </c>
      <c r="E18" s="17" t="str">
        <f>IF(COUNT(E5:E14)&lt;10,"待评分",IF(E17="是","不值得选",IF(E16&gt;=60,"值得选","不值得选")))</f>
        <v>值得选</v>
      </c>
      <c r="F18" s="17" t="str">
        <f>IF(COUNT(F5:F14)&lt;10,"待评分",IF(F17="是","不值得选",IF(F16&gt;=60,"值得选","不值得选")))</f>
        <v>值得选</v>
      </c>
      <c r="G18" s="17" t="str">
        <f>IF(COUNT(G5:G14)&lt;10,"待评分",IF(G17="是","不值得选",IF(G16&gt;=60,"值得选","不值得选")))</f>
        <v>值得选</v>
      </c>
    </row>
    <row r="19" spans="1:7">
      <c r="A19" s="3"/>
      <c r="B19" s="3"/>
      <c r="C19" s="3"/>
      <c r="D19" s="3"/>
      <c r="E19" s="3"/>
      <c r="F19" s="3"/>
      <c r="G19" s="3"/>
    </row>
    <row r="20" ht="24" customHeight="1" spans="1:7">
      <c r="A20" s="18" t="s">
        <v>24</v>
      </c>
      <c r="B20" s="18"/>
      <c r="C20" s="18"/>
      <c r="D20" s="18"/>
      <c r="E20" s="18"/>
      <c r="F20" s="18"/>
      <c r="G20" s="18"/>
    </row>
    <row r="21" spans="1:7">
      <c r="A21" s="3"/>
      <c r="B21" s="3"/>
      <c r="C21" s="3"/>
      <c r="D21" s="3"/>
      <c r="E21" s="3"/>
      <c r="F21" s="3"/>
      <c r="G21" s="3"/>
    </row>
    <row r="22" ht="34" customHeight="1" spans="1:7">
      <c r="A22" s="6" t="s">
        <v>25</v>
      </c>
      <c r="B22" s="6"/>
      <c r="C22" s="6"/>
      <c r="D22" s="6"/>
      <c r="E22" s="6"/>
      <c r="F22" s="6"/>
      <c r="G22" s="6"/>
    </row>
    <row r="23" ht="34" customHeight="1" spans="1:7">
      <c r="A23" s="6" t="s">
        <v>26</v>
      </c>
      <c r="B23" s="6"/>
      <c r="C23" s="6"/>
      <c r="D23" s="6"/>
      <c r="E23" s="6"/>
      <c r="F23" s="6"/>
      <c r="G23" s="6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</sheetData>
  <mergeCells count="5">
    <mergeCell ref="A1:G1"/>
    <mergeCell ref="A2:G2"/>
    <mergeCell ref="A20:G20"/>
    <mergeCell ref="A22:G22"/>
    <mergeCell ref="A23:G23"/>
  </mergeCells>
  <conditionalFormatting sqref="C16:G16">
    <cfRule type="dataBar" priority="3">
      <dataBar>
        <cfvo type="min"/>
        <cfvo type="max"/>
        <color rgb="FF8064A2"/>
      </dataBar>
      <extLst>
        <ext xmlns:x14="http://schemas.microsoft.com/office/spreadsheetml/2009/9/main" uri="{B025F937-C7B1-47D3-B67F-A62EFF666E3E}">
          <x14:id>{f3b97f0f-16ef-4625-ae86-746354621b11}</x14:id>
        </ext>
      </extLst>
    </cfRule>
  </conditionalFormatting>
  <conditionalFormatting sqref="C18:G18">
    <cfRule type="containsText" dxfId="0" priority="1" operator="between" text="值得选">
      <formula>NOT(ISERROR(SEARCH("值得选",C18)))</formula>
    </cfRule>
    <cfRule type="containsText" dxfId="1" priority="2" operator="between" text="不值得选">
      <formula>NOT(ISERROR(SEARCH("不值得选",C18)))</formula>
    </cfRule>
  </conditionalFormatting>
  <dataValidations count="2">
    <dataValidation type="whole" operator="between" sqref="C5:G5 C6:G6 C7 D7 E7 F7:G7 D8:E8 F8 E9 E10 C11 C8:C10 C12:C14 D9:D10 D11:D14 E11:E14 F9:F14 G8:G11 G12:G14">
      <formula1>1</formula1>
      <formula2>5</formula2>
    </dataValidation>
    <dataValidation type="list" sqref="C17:G17">
      <formula1>"否,是"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97f0f-16ef-4625-ae86-746354621b1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C16:G16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D17"/>
  <sheetViews>
    <sheetView showGridLines="0" tabSelected="1" workbookViewId="0">
      <selection activeCell="A1" sqref="A1:D1"/>
    </sheetView>
  </sheetViews>
  <sheetFormatPr defaultColWidth="9" defaultRowHeight="16.8" outlineLevelCol="3"/>
  <cols>
    <col min="1" max="1" width="24" customWidth="1"/>
    <col min="2" max="2" width="36" customWidth="1"/>
    <col min="3" max="4" width="32" customWidth="1"/>
  </cols>
  <sheetData>
    <row r="1" ht="30" customHeight="1" spans="1:4">
      <c r="A1" s="1" t="s">
        <v>27</v>
      </c>
      <c r="B1" s="1"/>
      <c r="C1" s="1"/>
      <c r="D1" s="1"/>
    </row>
    <row r="2" ht="34" customHeight="1" spans="1:4">
      <c r="A2" s="2" t="s">
        <v>28</v>
      </c>
      <c r="B2" s="2"/>
      <c r="C2" s="2"/>
      <c r="D2" s="2"/>
    </row>
    <row r="3" spans="1:4">
      <c r="A3" s="3"/>
      <c r="B3" s="3"/>
      <c r="C3" s="3"/>
      <c r="D3" s="3"/>
    </row>
    <row r="4" ht="30" customHeight="1" spans="1:4">
      <c r="A4" s="4" t="s">
        <v>29</v>
      </c>
      <c r="B4" s="4" t="s">
        <v>30</v>
      </c>
      <c r="C4" s="4" t="s">
        <v>31</v>
      </c>
      <c r="D4" s="4" t="s">
        <v>32</v>
      </c>
    </row>
    <row r="5" ht="44" customHeight="1" spans="1:4">
      <c r="A5" s="5" t="s">
        <v>9</v>
      </c>
      <c r="B5" s="5" t="s">
        <v>33</v>
      </c>
      <c r="C5" s="5" t="s">
        <v>34</v>
      </c>
      <c r="D5" s="5" t="s">
        <v>35</v>
      </c>
    </row>
    <row r="6" ht="44" customHeight="1" spans="1:4">
      <c r="A6" s="5" t="s">
        <v>10</v>
      </c>
      <c r="B6" s="5" t="s">
        <v>36</v>
      </c>
      <c r="C6" s="5" t="s">
        <v>37</v>
      </c>
      <c r="D6" s="5" t="s">
        <v>38</v>
      </c>
    </row>
    <row r="7" ht="44" customHeight="1" spans="1:4">
      <c r="A7" s="5" t="s">
        <v>39</v>
      </c>
      <c r="B7" s="5" t="s">
        <v>40</v>
      </c>
      <c r="C7" s="5" t="s">
        <v>41</v>
      </c>
      <c r="D7" s="5" t="s">
        <v>42</v>
      </c>
    </row>
    <row r="8" ht="44" customHeight="1" spans="1:4">
      <c r="A8" s="5" t="s">
        <v>12</v>
      </c>
      <c r="B8" s="5" t="s">
        <v>43</v>
      </c>
      <c r="C8" s="5" t="s">
        <v>44</v>
      </c>
      <c r="D8" s="5" t="s">
        <v>45</v>
      </c>
    </row>
    <row r="9" ht="44" customHeight="1" spans="1:4">
      <c r="A9" s="5" t="s">
        <v>13</v>
      </c>
      <c r="B9" s="5" t="s">
        <v>46</v>
      </c>
      <c r="C9" s="5" t="s">
        <v>47</v>
      </c>
      <c r="D9" s="5" t="s">
        <v>48</v>
      </c>
    </row>
    <row r="10" ht="44" customHeight="1" spans="1:4">
      <c r="A10" s="5" t="s">
        <v>49</v>
      </c>
      <c r="B10" s="5" t="s">
        <v>50</v>
      </c>
      <c r="C10" s="5" t="s">
        <v>51</v>
      </c>
      <c r="D10" s="5" t="s">
        <v>52</v>
      </c>
    </row>
    <row r="11" ht="44" customHeight="1" spans="1:4">
      <c r="A11" s="5" t="s">
        <v>15</v>
      </c>
      <c r="B11" s="5" t="s">
        <v>53</v>
      </c>
      <c r="C11" s="5" t="s">
        <v>54</v>
      </c>
      <c r="D11" s="5" t="s">
        <v>55</v>
      </c>
    </row>
    <row r="12" ht="44" customHeight="1" spans="1:4">
      <c r="A12" s="5" t="s">
        <v>16</v>
      </c>
      <c r="B12" s="5" t="s">
        <v>56</v>
      </c>
      <c r="C12" s="5" t="s">
        <v>57</v>
      </c>
      <c r="D12" s="5" t="s">
        <v>58</v>
      </c>
    </row>
    <row r="13" ht="44" customHeight="1" spans="1:4">
      <c r="A13" s="5" t="s">
        <v>17</v>
      </c>
      <c r="B13" s="5" t="s">
        <v>59</v>
      </c>
      <c r="C13" s="5" t="s">
        <v>60</v>
      </c>
      <c r="D13" s="5" t="s">
        <v>61</v>
      </c>
    </row>
    <row r="14" ht="44" customHeight="1" spans="1:4">
      <c r="A14" s="5" t="s">
        <v>18</v>
      </c>
      <c r="B14" s="5" t="s">
        <v>62</v>
      </c>
      <c r="C14" s="5" t="s">
        <v>63</v>
      </c>
      <c r="D14" s="5" t="s">
        <v>64</v>
      </c>
    </row>
    <row r="15" spans="1:4">
      <c r="A15" s="3"/>
      <c r="B15" s="3"/>
      <c r="C15" s="3"/>
      <c r="D15" s="3"/>
    </row>
    <row r="16" ht="36" customHeight="1" spans="1:4">
      <c r="A16" s="6" t="s">
        <v>25</v>
      </c>
      <c r="B16" s="6"/>
      <c r="C16" s="6"/>
      <c r="D16" s="6"/>
    </row>
    <row r="17" ht="36" customHeight="1" spans="1:4">
      <c r="A17" s="6" t="s">
        <v>65</v>
      </c>
      <c r="B17" s="6"/>
      <c r="C17" s="6"/>
      <c r="D17" s="6"/>
    </row>
  </sheetData>
  <mergeCells count="4">
    <mergeCell ref="A1:D1"/>
    <mergeCell ref="A2:D2"/>
    <mergeCell ref="A16:D16"/>
    <mergeCell ref="A17:D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选题评分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飞光飞光</cp:lastModifiedBy>
  <dcterms:created xsi:type="dcterms:W3CDTF">2026-09-22T09:56:59Z</dcterms:created>
  <dcterms:modified xsi:type="dcterms:W3CDTF">2026-09-22T10:02:25Z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AE4083B9E32D8D63B1E1B16AFE6E48DE_42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